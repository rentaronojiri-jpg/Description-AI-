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ダッシュボード" sheetId="2" state="visible" r:id="rId2"/>
    <sheet xmlns:r="http://schemas.openxmlformats.org/officeDocument/2006/relationships" name="設定" sheetId="3" state="visible" r:id="rId3"/>
    <sheet xmlns:r="http://schemas.openxmlformats.org/officeDocument/2006/relationships" name="案件台帳" sheetId="4" state="visible" r:id="rId4"/>
    <sheet xmlns:r="http://schemas.openxmlformats.org/officeDocument/2006/relationships" name="見積書" sheetId="5" state="visible" r:id="rId5"/>
    <sheet xmlns:r="http://schemas.openxmlformats.org/officeDocument/2006/relationships" name="予算管理" sheetId="6" state="visible" r:id="rId6"/>
    <sheet xmlns:r="http://schemas.openxmlformats.org/officeDocument/2006/relationships" name="請求書" sheetId="7" state="visible" r:id="rId7"/>
    <sheet xmlns:r="http://schemas.openxmlformats.org/officeDocument/2006/relationships" name="支払管理" sheetId="8" state="visible" r:id="rId8"/>
    <sheet xmlns:r="http://schemas.openxmlformats.org/officeDocument/2006/relationships" name="入出金帳" sheetId="9" state="visible" r:id="rId9"/>
  </sheets>
  <definedNames>
    <definedName name="_xlnm._FilterDatabase" localSheetId="3" hidden="1">'案件台帳'!$A$5:$N$105</definedName>
    <definedName name="_xlnm.Print_Area" localSheetId="4">'見積書'!$A$1:$H$52</definedName>
    <definedName name="_xlnm._FilterDatabase" localSheetId="5" hidden="1">'予算管理'!$A$5:$H$205</definedName>
    <definedName name="_xlnm.Print_Area" localSheetId="6">'請求書'!$A$1:$F$26</definedName>
    <definedName name="_xlnm._FilterDatabase" localSheetId="7" hidden="1">'支払管理'!$A$10:$L$210</definedName>
    <definedName name="_xlnm._FilterDatabase" localSheetId="8" hidden="1">'入出金帳'!$A$5:$I$505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&quot;日&quot;"/>
    <numFmt numFmtId="165" formatCode="yyyy-mm-dd"/>
    <numFmt numFmtId="166" formatCode="yyyy&quot;年&quot;m&quot;月&quot;"/>
    <numFmt numFmtId="167" formatCode="#,##0&quot;円&quot;"/>
    <numFmt numFmtId="168" formatCode="0.0%"/>
    <numFmt numFmtId="169" formatCode="yyyy/m/d"/>
    <numFmt numFmtId="170" formatCode="0&quot;件&quot;"/>
    <numFmt numFmtId="171" formatCode="0;[Red]-0"/>
  </numFmts>
  <fonts count="13">
    <font>
      <name val="Calibri"/>
      <family val="2"/>
      <color theme="1"/>
      <sz val="11"/>
      <scheme val="minor"/>
    </font>
    <font>
      <name val="游ゴシック"/>
      <b val="1"/>
      <color rgb="001F3864"/>
      <sz val="16"/>
    </font>
    <font>
      <name val="游ゴシック"/>
      <color rgb="00595959"/>
      <sz val="10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3864"/>
    </font>
    <font>
      <name val="游ゴシック"/>
      <b val="1"/>
      <color rgb="00FFFFFF"/>
      <sz val="11"/>
    </font>
    <font>
      <name val="游ゴシック"/>
      <b val="1"/>
      <sz val="22"/>
    </font>
    <font>
      <name val="游ゴシック"/>
      <b val="1"/>
      <sz val="13"/>
    </font>
    <font>
      <name val="游ゴシック"/>
      <b val="1"/>
      <sz val="14"/>
    </font>
    <font>
      <name val="游ゴシック"/>
      <b val="1"/>
      <sz val="12"/>
    </font>
    <font>
      <name val="游ゴシック"/>
      <b val="1"/>
      <color rgb="001F3864"/>
      <sz val="18"/>
    </font>
    <font>
      <name val="游ゴシック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9E5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167" fontId="10" fillId="5" borderId="1" applyAlignment="1" pivotButton="0" quotePrefix="0" xfId="0">
      <alignment horizontal="center" vertical="center"/>
    </xf>
    <xf numFmtId="170" fontId="10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5" borderId="1" applyAlignment="1" pivotButton="0" quotePrefix="0" xfId="0">
      <alignment vertical="center"/>
    </xf>
    <xf numFmtId="170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vertical="center"/>
    </xf>
    <xf numFmtId="166" fontId="4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7" fontId="3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168" fontId="4" fillId="5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9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166" fontId="4" fillId="3" borderId="1" applyAlignment="1" pivotButton="0" quotePrefix="0" xfId="0">
      <alignment vertical="center"/>
    </xf>
    <xf numFmtId="167" fontId="4" fillId="3" borderId="1" applyAlignment="1" pivotButton="0" quotePrefix="0" xfId="0">
      <alignment vertical="center"/>
    </xf>
    <xf numFmtId="0" fontId="3" fillId="2" borderId="1" applyAlignment="1" pivotButton="0" quotePrefix="0" xfId="0">
      <alignment horizontal="right" vertical="center"/>
    </xf>
    <xf numFmtId="168" fontId="3" fillId="5" borderId="1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169" fontId="4" fillId="3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167" fontId="9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4" fillId="3" borderId="1" applyAlignment="1" pivotButton="0" quotePrefix="0" xfId="0">
      <alignment vertical="center"/>
    </xf>
    <xf numFmtId="3" fontId="4" fillId="5" borderId="1" applyAlignment="1" pivotButton="0" quotePrefix="0" xfId="0">
      <alignment vertical="center"/>
    </xf>
    <xf numFmtId="167" fontId="8" fillId="5" borderId="1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169" fontId="4" fillId="3" borderId="1" applyAlignment="1" pivotButton="0" quotePrefix="0" xfId="0">
      <alignment vertical="center"/>
    </xf>
    <xf numFmtId="9" fontId="4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4" pivotButton="0" quotePrefix="0" xfId="0"/>
    <xf numFmtId="170" fontId="4" fillId="5" borderId="1" applyAlignment="1" pivotButton="0" quotePrefix="0" xfId="0">
      <alignment vertical="center"/>
    </xf>
    <xf numFmtId="170" fontId="3" fillId="5" borderId="1" applyAlignment="1" pivotButton="0" quotePrefix="0" xfId="0">
      <alignment vertical="center"/>
    </xf>
    <xf numFmtId="171" fontId="4" fillId="5" borderId="1" applyAlignment="1" pivotButton="0" quotePrefix="0" xfId="0">
      <alignment vertical="center"/>
    </xf>
  </cellXfs>
  <cellStyles count="1">
    <cellStyle name="Normal" xfId="0" builtinId="0" hidden="0"/>
  </cellStyles>
  <dxfs count="7">
    <dxf>
      <font>
        <b val="1"/>
        <color rgb="00C00000"/>
      </font>
      <fill>
        <patternFill patternType="solid">
          <bgColor rgb="00F8CBAD"/>
        </patternFill>
      </fill>
    </dxf>
    <dxf>
      <fill>
        <patternFill patternType="solid">
          <bgColor rgb="00C6E0B4"/>
        </patternFill>
      </fill>
    </dxf>
    <dxf>
      <fill>
        <patternFill patternType="solid">
          <bgColor rgb="00BDD7EE"/>
        </patternFill>
      </fill>
    </dxf>
    <dxf>
      <fill>
        <patternFill patternType="solid">
          <bgColor rgb="00D9D9D9"/>
        </patternFill>
      </fill>
    </dxf>
    <dxf>
      <font>
        <b val="1"/>
        <color rgb="00C00000"/>
      </font>
    </dxf>
    <dxf>
      <fill>
        <patternFill patternType="solid">
          <bgColor rgb="00FFF2CC"/>
        </patternFill>
      </fill>
    </dxf>
    <dxf>
      <fill>
        <patternFill patternType="solid"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月別の入金・出金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'ダッシュボード'!C17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'ダッシュボード'!$B$18:$B$29</f>
            </numRef>
          </cat>
          <val>
            <numRef>
              <f>'ダッシュボード'!$C$18:$C$29</f>
            </numRef>
          </val>
        </ser>
        <ser>
          <idx val="1"/>
          <order val="1"/>
          <tx>
            <strRef>
              <f>'ダッシュボード'!D17</f>
            </strRef>
          </tx>
          <spPr>
            <a:ln xmlns:a="http://schemas.openxmlformats.org/drawingml/2006/main">
              <a:prstDash val="solid"/>
            </a:ln>
          </spPr>
          <cat>
            <numRef>
              <f>'ダッシュボード'!$B$18:$B$29</f>
            </numRef>
          </cat>
          <val>
            <numRef>
              <f>'ダッシュボード'!$D$18:$D$29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m&quot;月&quot;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6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B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0" customWidth="1" min="3" max="3"/>
  </cols>
  <sheetData>
    <row r="1">
      <c r="B1" s="1" t="inlineStr">
        <is>
          <t>事務管理ブック（サンプル入り版）</t>
        </is>
      </c>
    </row>
    <row r="2">
      <c r="B2" s="2" t="inlineStr">
        <is>
          <t>※ このファイルの会社名・金額・取引先はすべてサンプルです。実際の運用前に、サンプル行を消してから使ってください。</t>
        </is>
      </c>
    </row>
    <row r="4">
      <c r="B4" s="3" t="inlineStr">
        <is>
          <t>色の約束</t>
        </is>
      </c>
      <c r="C4" s="4" t="n"/>
    </row>
    <row r="5">
      <c r="B5" s="5" t="inlineStr">
        <is>
          <t>黄色のセル</t>
        </is>
      </c>
      <c r="C5" s="6" t="inlineStr">
        <is>
          <t>自分で入力する場所です。</t>
        </is>
      </c>
    </row>
    <row r="6">
      <c r="B6" s="7" t="inlineStr">
        <is>
          <t>灰色のセル</t>
        </is>
      </c>
      <c r="C6" s="6" t="inlineStr">
        <is>
          <t>自動で計算される場所です。上書きしないでください（数式が消えます）。</t>
        </is>
      </c>
    </row>
    <row r="8">
      <c r="B8" s="3" t="inlineStr">
        <is>
          <t>最初にやること</t>
        </is>
      </c>
      <c r="C8" s="4" t="n"/>
    </row>
    <row r="9" ht="32" customHeight="1">
      <c r="B9" s="8" t="inlineStr">
        <is>
          <t>① 設定</t>
        </is>
      </c>
      <c r="C9" s="9" t="inlineStr">
        <is>
          <t>「設定」シートに自社名・住所・インボイス番号・振込先を入れます（見積書・請求書に自動で入ります）。</t>
        </is>
      </c>
    </row>
    <row r="10" ht="32" customHeight="1">
      <c r="B10" s="8" t="inlineStr">
        <is>
          <t>② 案件台帳</t>
        </is>
      </c>
      <c r="C10" s="9" t="inlineStr">
        <is>
          <t>案件を1行ずつ登録します（案件No・案件名・取引先・請負金額）。案件Noは自由な番号でOK（例: 2610-01）。</t>
        </is>
      </c>
    </row>
    <row r="11" ht="32" customHeight="1">
      <c r="B11" s="8" t="inlineStr">
        <is>
          <t>③ 見積書</t>
        </is>
      </c>
      <c r="C11" s="9" t="inlineStr">
        <is>
          <t>案件Noを選ぶと宛名・件名が入ります。明細（工種・品名・数量・単価）を入力。印刷はA3、1ページに収まります。</t>
        </is>
      </c>
    </row>
    <row r="12" ht="32" customHeight="1">
      <c r="B12" s="8" t="inlineStr">
        <is>
          <t>④ 予算管理</t>
        </is>
      </c>
      <c r="C12" s="9" t="inlineStr">
        <is>
          <t>業者に発注したら1件1行で入力。案件ごとの外注費と粗利が「案件台帳」に自動で出ます。</t>
        </is>
      </c>
    </row>
    <row r="13" ht="32" customHeight="1">
      <c r="B13" s="8" t="inlineStr">
        <is>
          <t>⑤ 請求書</t>
        </is>
      </c>
      <c r="C13" s="9" t="inlineStr">
        <is>
          <t>案件Noを選ぶと、請負金額が1行（一式）で入ります。分割請求は「請求割合」を変えます（例: 50%）。</t>
        </is>
      </c>
    </row>
    <row r="14" ht="32" customHeight="1">
      <c r="B14" s="8" t="inlineStr">
        <is>
          <t>⑥ 支払管理</t>
        </is>
      </c>
      <c r="C14" s="9" t="inlineStr">
        <is>
          <t>業者から届いた請求書を入力。支払状況を選ぶと色が変わり、期限切れは赤字になります。</t>
        </is>
      </c>
    </row>
    <row r="15" ht="32" customHeight="1">
      <c r="B15" s="8" t="inlineStr">
        <is>
          <t>⑦ 入出金帳</t>
        </is>
      </c>
      <c r="C15" s="9" t="inlineStr">
        <is>
          <t>入金・出金を1行ずつ入力。残高が自動で出ます。案件Noを選ぶと、その案件の入金済額・未入金額が台帳に出ます。</t>
        </is>
      </c>
    </row>
    <row r="16" ht="32" customHeight="1">
      <c r="B16" s="8" t="inlineStr">
        <is>
          <t>⑧ ダッシュボード</t>
        </is>
      </c>
      <c r="C16" s="9" t="inlineStr">
        <is>
          <t>残高・未入金・未払い・月別の入出金・案件別の粗利を一覧で見られます（入力は不要）。</t>
        </is>
      </c>
    </row>
    <row r="18">
      <c r="B18" s="3" t="inlineStr">
        <is>
          <t>気をつけること</t>
        </is>
      </c>
      <c r="C18" s="4" t="n"/>
    </row>
    <row r="19" ht="28" customHeight="1">
      <c r="B19" s="10" t="inlineStr">
        <is>
          <t>・</t>
        </is>
      </c>
      <c r="C19" s="9" t="inlineStr">
        <is>
          <t>請負金額・見積金額は、必ず本人が最終確認して入力してください（自動では決まりません）。</t>
        </is>
      </c>
    </row>
    <row r="20" ht="28" customHeight="1">
      <c r="B20" s="10" t="inlineStr">
        <is>
          <t>・</t>
        </is>
      </c>
      <c r="C20" s="9" t="inlineStr">
        <is>
          <t>行を並べ替える時は、同じシートの行ごと選んで「データ」タブの並べ替えを使ってください。</t>
        </is>
      </c>
    </row>
    <row r="21" ht="28" customHeight="1">
      <c r="B21" s="10" t="inlineStr">
        <is>
          <t>・</t>
        </is>
      </c>
      <c r="C21" s="9" t="inlineStr">
        <is>
          <t>案件台帳の合計・粗利は、状況が「見積中」「失注」の案件を除いて計算します（受注した案件だけを数えるため）。</t>
        </is>
      </c>
    </row>
    <row r="22" ht="28" customHeight="1">
      <c r="B22" s="10" t="inlineStr">
        <is>
          <t>・</t>
        </is>
      </c>
      <c r="C22" s="9" t="inlineStr">
        <is>
          <t>入出金帳の残高は上から順に計算します。行の途中に空き行を作らないでください。</t>
        </is>
      </c>
    </row>
    <row r="23" ht="28" customHeight="1">
      <c r="B23" s="10" t="inlineStr">
        <is>
          <t>・</t>
        </is>
      </c>
      <c r="C23" s="9" t="inlineStr">
        <is>
          <t>行が足りなくなったら、最終行の1行上を選んで行を挿入し、数式のある行をコピーしてください。</t>
        </is>
      </c>
    </row>
    <row r="24" ht="28" customHeight="1">
      <c r="B24" s="10" t="inlineStr">
        <is>
          <t>・</t>
        </is>
      </c>
      <c r="C24" s="9" t="inlineStr">
        <is>
          <t>他の人に渡す時は「設定」の自社情報を書き換え、サンプルを消してお渡しください（空白版もあります）。</t>
        </is>
      </c>
    </row>
    <row r="25" ht="28" customHeight="1">
      <c r="B25" s="10" t="inlineStr">
        <is>
          <t>・</t>
        </is>
      </c>
      <c r="C25" s="9" t="inlineStr">
        <is>
          <t>マクロは使っていません。ExcelでもGoogleスプレッドシートでも開けます。</t>
        </is>
      </c>
    </row>
  </sheetData>
  <printOptions horizontalCentered="1"/>
  <pageMargins left="0.75" right="0.75" top="1" bottom="1" header="0.5" footer="0.5"/>
  <pageSetup orientation="portrait" paperSize="8" fitToHeight="0" fitToWidth="1"/>
</worksheet>
</file>

<file path=xl/worksheets/sheet2.xml><?xml version="1.0" encoding="utf-8"?>
<worksheet xmlns="http://schemas.openxmlformats.org/spreadsheetml/2006/main">
  <sheetPr>
    <tabColor rgb="00BF9000"/>
    <outlinePr summaryBelow="1" summaryRight="1"/>
    <pageSetUpPr fitToPage="1"/>
  </sheetPr>
  <dimension ref="B1:H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B1" s="11" t="inlineStr">
        <is>
          <t>ダッシュボード（全体の状況）</t>
        </is>
      </c>
    </row>
    <row r="2">
      <c r="B2" s="12" t="inlineStr">
        <is>
          <t>すべて自動計算です。入力は他のシートで行ってください。</t>
        </is>
      </c>
    </row>
    <row r="4" ht="32" customHeight="1">
      <c r="B4" s="13" t="inlineStr">
        <is>
          <t>現在の残高</t>
        </is>
      </c>
      <c r="C4" s="13" t="inlineStr">
        <is>
          <t>未入金の合計（税込）</t>
        </is>
      </c>
      <c r="D4" s="13" t="inlineStr">
        <is>
          <t>未払いの合計（税込）</t>
        </is>
      </c>
      <c r="E4" s="13" t="inlineStr">
        <is>
          <t>今月が期限の未払い</t>
        </is>
      </c>
      <c r="F4" s="13" t="inlineStr">
        <is>
          <t>期限超過の支払い</t>
        </is>
      </c>
      <c r="G4" s="13" t="inlineStr">
        <is>
          <t>粗利の合計（税抜）</t>
        </is>
      </c>
    </row>
    <row r="5" ht="36" customHeight="1">
      <c r="B5" s="14">
        <f>'入出金帳'!I3</f>
        <v/>
      </c>
      <c r="C5" s="14">
        <f>'案件台帳'!M3</f>
        <v/>
      </c>
      <c r="D5" s="14">
        <f>SUMIF('支払管理'!$I$11:$I$210,"未払い",'支払管理'!$G$11:$G$210)+SUMIF('支払管理'!$I$11:$I$210,"問題あり",'支払管理'!$G$11:$G$210)</f>
        <v/>
      </c>
      <c r="E5" s="14">
        <f>SUMIFS('支払管理'!$G$11:$G$210,'支払管理'!$H$11:$H$210,"&gt;="&amp;DATE(YEAR(TODAY()),MONTH(TODAY()),1),'支払管理'!$H$11:$H$210,"&lt;"&amp;EDATE(DATE(YEAR(TODAY()),MONTH(TODAY()),1),1),'支払管理'!$I$11:$I$210,"&lt;&gt;支払い済み")</f>
        <v/>
      </c>
      <c r="F5" s="15">
        <f>COUNTIFS('支払管理'!$H$11:$H$210,"&lt;"&amp;TODAY(),'支払管理'!$I$11:$I$210,"&lt;&gt;支払い済み",'支払管理'!$B$11:$B$210,"&lt;&gt;")</f>
        <v/>
      </c>
      <c r="G5" s="14">
        <f>'案件台帳'!J3</f>
        <v/>
      </c>
    </row>
    <row r="7">
      <c r="B7" s="16" t="inlineStr">
        <is>
          <t>■ 案件の状況別</t>
        </is>
      </c>
    </row>
    <row r="8" ht="30" customHeight="1">
      <c r="B8" s="13" t="inlineStr">
        <is>
          <t>状況</t>
        </is>
      </c>
      <c r="C8" s="13" t="inlineStr">
        <is>
          <t>件数</t>
        </is>
      </c>
      <c r="D8" s="13" t="inlineStr">
        <is>
          <t>請負金額（税抜）</t>
        </is>
      </c>
    </row>
    <row r="9">
      <c r="B9" s="17">
        <f>'設定'!B19</f>
        <v/>
      </c>
      <c r="C9" s="18">
        <f>IF(B9="","",COUNTIF('案件台帳'!$E$6:$E$105,B9))</f>
        <v/>
      </c>
      <c r="D9" s="19">
        <f>IF(B9="","",SUMIF('案件台帳'!$E$6:$E$105,B9,'案件台帳'!$F$6:$F$105))</f>
        <v/>
      </c>
    </row>
    <row r="10">
      <c r="B10" s="17">
        <f>'設定'!B20</f>
        <v/>
      </c>
      <c r="C10" s="18">
        <f>IF(B10="","",COUNTIF('案件台帳'!$E$6:$E$105,B10))</f>
        <v/>
      </c>
      <c r="D10" s="19">
        <f>IF(B10="","",SUMIF('案件台帳'!$E$6:$E$105,B10,'案件台帳'!$F$6:$F$105))</f>
        <v/>
      </c>
    </row>
    <row r="11">
      <c r="B11" s="17">
        <f>'設定'!B21</f>
        <v/>
      </c>
      <c r="C11" s="18">
        <f>IF(B11="","",COUNTIF('案件台帳'!$E$6:$E$105,B11))</f>
        <v/>
      </c>
      <c r="D11" s="19">
        <f>IF(B11="","",SUMIF('案件台帳'!$E$6:$E$105,B11,'案件台帳'!$F$6:$F$105))</f>
        <v/>
      </c>
    </row>
    <row r="12">
      <c r="B12" s="17">
        <f>'設定'!B22</f>
        <v/>
      </c>
      <c r="C12" s="18">
        <f>IF(B12="","",COUNTIF('案件台帳'!$E$6:$E$105,B12))</f>
        <v/>
      </c>
      <c r="D12" s="19">
        <f>IF(B12="","",SUMIF('案件台帳'!$E$6:$E$105,B12,'案件台帳'!$F$6:$F$105))</f>
        <v/>
      </c>
    </row>
    <row r="13">
      <c r="B13" s="17">
        <f>'設定'!B23</f>
        <v/>
      </c>
      <c r="C13" s="18">
        <f>IF(B13="","",COUNTIF('案件台帳'!$E$6:$E$105,B13))</f>
        <v/>
      </c>
      <c r="D13" s="19">
        <f>IF(B13="","",SUMIF('案件台帳'!$E$6:$E$105,B13,'案件台帳'!$F$6:$F$105))</f>
        <v/>
      </c>
    </row>
    <row r="14">
      <c r="B14" s="17">
        <f>'設定'!B24</f>
        <v/>
      </c>
      <c r="C14" s="18">
        <f>IF(B14="","",COUNTIF('案件台帳'!$E$6:$E$105,B14))</f>
        <v/>
      </c>
      <c r="D14" s="19">
        <f>IF(B14="","",SUMIF('案件台帳'!$E$6:$E$105,B14,'案件台帳'!$F$6:$F$105))</f>
        <v/>
      </c>
    </row>
    <row r="16">
      <c r="B16" s="16" t="inlineStr">
        <is>
          <t>■ 月別の入出金（開始月は「設定」で変更）</t>
        </is>
      </c>
    </row>
    <row r="17" ht="30" customHeight="1">
      <c r="B17" s="13" t="inlineStr">
        <is>
          <t>月</t>
        </is>
      </c>
      <c r="C17" s="13" t="inlineStr">
        <is>
          <t>入金</t>
        </is>
      </c>
      <c r="D17" s="13" t="inlineStr">
        <is>
          <t>出金</t>
        </is>
      </c>
      <c r="E17" s="13" t="inlineStr">
        <is>
          <t>差引</t>
        </is>
      </c>
    </row>
    <row r="18">
      <c r="B18" s="20">
        <f>EDATE('設定'!$C$14,0)</f>
        <v/>
      </c>
      <c r="C18" s="19">
        <f>SUMIFS('入出金帳'!$G$6:$G$505,'入出金帳'!$A$6:$A$505,"&gt;="&amp;B18,'入出金帳'!$A$6:$A$505,"&lt;"&amp;EDATE(B18,1))</f>
        <v/>
      </c>
      <c r="D18" s="19">
        <f>SUMIFS('入出金帳'!$H$6:$H$505,'入出金帳'!$A$6:$A$505,"&gt;="&amp;B18,'入出金帳'!$A$6:$A$505,"&lt;"&amp;EDATE(B18,1))</f>
        <v/>
      </c>
      <c r="E18" s="19">
        <f>C18-D18</f>
        <v/>
      </c>
    </row>
    <row r="19">
      <c r="B19" s="20">
        <f>EDATE('設定'!$C$14,1)</f>
        <v/>
      </c>
      <c r="C19" s="19">
        <f>SUMIFS('入出金帳'!$G$6:$G$505,'入出金帳'!$A$6:$A$505,"&gt;="&amp;B19,'入出金帳'!$A$6:$A$505,"&lt;"&amp;EDATE(B19,1))</f>
        <v/>
      </c>
      <c r="D19" s="19">
        <f>SUMIFS('入出金帳'!$H$6:$H$505,'入出金帳'!$A$6:$A$505,"&gt;="&amp;B19,'入出金帳'!$A$6:$A$505,"&lt;"&amp;EDATE(B19,1))</f>
        <v/>
      </c>
      <c r="E19" s="19">
        <f>C19-D19</f>
        <v/>
      </c>
    </row>
    <row r="20">
      <c r="B20" s="20">
        <f>EDATE('設定'!$C$14,2)</f>
        <v/>
      </c>
      <c r="C20" s="19">
        <f>SUMIFS('入出金帳'!$G$6:$G$505,'入出金帳'!$A$6:$A$505,"&gt;="&amp;B20,'入出金帳'!$A$6:$A$505,"&lt;"&amp;EDATE(B20,1))</f>
        <v/>
      </c>
      <c r="D20" s="19">
        <f>SUMIFS('入出金帳'!$H$6:$H$505,'入出金帳'!$A$6:$A$505,"&gt;="&amp;B20,'入出金帳'!$A$6:$A$505,"&lt;"&amp;EDATE(B20,1))</f>
        <v/>
      </c>
      <c r="E20" s="19">
        <f>C20-D20</f>
        <v/>
      </c>
    </row>
    <row r="21">
      <c r="B21" s="20">
        <f>EDATE('設定'!$C$14,3)</f>
        <v/>
      </c>
      <c r="C21" s="19">
        <f>SUMIFS('入出金帳'!$G$6:$G$505,'入出金帳'!$A$6:$A$505,"&gt;="&amp;B21,'入出金帳'!$A$6:$A$505,"&lt;"&amp;EDATE(B21,1))</f>
        <v/>
      </c>
      <c r="D21" s="19">
        <f>SUMIFS('入出金帳'!$H$6:$H$505,'入出金帳'!$A$6:$A$505,"&gt;="&amp;B21,'入出金帳'!$A$6:$A$505,"&lt;"&amp;EDATE(B21,1))</f>
        <v/>
      </c>
      <c r="E21" s="19">
        <f>C21-D21</f>
        <v/>
      </c>
    </row>
    <row r="22">
      <c r="B22" s="20">
        <f>EDATE('設定'!$C$14,4)</f>
        <v/>
      </c>
      <c r="C22" s="19">
        <f>SUMIFS('入出金帳'!$G$6:$G$505,'入出金帳'!$A$6:$A$505,"&gt;="&amp;B22,'入出金帳'!$A$6:$A$505,"&lt;"&amp;EDATE(B22,1))</f>
        <v/>
      </c>
      <c r="D22" s="19">
        <f>SUMIFS('入出金帳'!$H$6:$H$505,'入出金帳'!$A$6:$A$505,"&gt;="&amp;B22,'入出金帳'!$A$6:$A$505,"&lt;"&amp;EDATE(B22,1))</f>
        <v/>
      </c>
      <c r="E22" s="19">
        <f>C22-D22</f>
        <v/>
      </c>
    </row>
    <row r="23">
      <c r="B23" s="20">
        <f>EDATE('設定'!$C$14,5)</f>
        <v/>
      </c>
      <c r="C23" s="19">
        <f>SUMIFS('入出金帳'!$G$6:$G$505,'入出金帳'!$A$6:$A$505,"&gt;="&amp;B23,'入出金帳'!$A$6:$A$505,"&lt;"&amp;EDATE(B23,1))</f>
        <v/>
      </c>
      <c r="D23" s="19">
        <f>SUMIFS('入出金帳'!$H$6:$H$505,'入出金帳'!$A$6:$A$505,"&gt;="&amp;B23,'入出金帳'!$A$6:$A$505,"&lt;"&amp;EDATE(B23,1))</f>
        <v/>
      </c>
      <c r="E23" s="19">
        <f>C23-D23</f>
        <v/>
      </c>
    </row>
    <row r="24">
      <c r="B24" s="20">
        <f>EDATE('設定'!$C$14,6)</f>
        <v/>
      </c>
      <c r="C24" s="19">
        <f>SUMIFS('入出金帳'!$G$6:$G$505,'入出金帳'!$A$6:$A$505,"&gt;="&amp;B24,'入出金帳'!$A$6:$A$505,"&lt;"&amp;EDATE(B24,1))</f>
        <v/>
      </c>
      <c r="D24" s="19">
        <f>SUMIFS('入出金帳'!$H$6:$H$505,'入出金帳'!$A$6:$A$505,"&gt;="&amp;B24,'入出金帳'!$A$6:$A$505,"&lt;"&amp;EDATE(B24,1))</f>
        <v/>
      </c>
      <c r="E24" s="19">
        <f>C24-D24</f>
        <v/>
      </c>
    </row>
    <row r="25">
      <c r="B25" s="20">
        <f>EDATE('設定'!$C$14,7)</f>
        <v/>
      </c>
      <c r="C25" s="19">
        <f>SUMIFS('入出金帳'!$G$6:$G$505,'入出金帳'!$A$6:$A$505,"&gt;="&amp;B25,'入出金帳'!$A$6:$A$505,"&lt;"&amp;EDATE(B25,1))</f>
        <v/>
      </c>
      <c r="D25" s="19">
        <f>SUMIFS('入出金帳'!$H$6:$H$505,'入出金帳'!$A$6:$A$505,"&gt;="&amp;B25,'入出金帳'!$A$6:$A$505,"&lt;"&amp;EDATE(B25,1))</f>
        <v/>
      </c>
      <c r="E25" s="19">
        <f>C25-D25</f>
        <v/>
      </c>
    </row>
    <row r="26">
      <c r="B26" s="20">
        <f>EDATE('設定'!$C$14,8)</f>
        <v/>
      </c>
      <c r="C26" s="19">
        <f>SUMIFS('入出金帳'!$G$6:$G$505,'入出金帳'!$A$6:$A$505,"&gt;="&amp;B26,'入出金帳'!$A$6:$A$505,"&lt;"&amp;EDATE(B26,1))</f>
        <v/>
      </c>
      <c r="D26" s="19">
        <f>SUMIFS('入出金帳'!$H$6:$H$505,'入出金帳'!$A$6:$A$505,"&gt;="&amp;B26,'入出金帳'!$A$6:$A$505,"&lt;"&amp;EDATE(B26,1))</f>
        <v/>
      </c>
      <c r="E26" s="19">
        <f>C26-D26</f>
        <v/>
      </c>
    </row>
    <row r="27">
      <c r="B27" s="20">
        <f>EDATE('設定'!$C$14,9)</f>
        <v/>
      </c>
      <c r="C27" s="19">
        <f>SUMIFS('入出金帳'!$G$6:$G$505,'入出金帳'!$A$6:$A$505,"&gt;="&amp;B27,'入出金帳'!$A$6:$A$505,"&lt;"&amp;EDATE(B27,1))</f>
        <v/>
      </c>
      <c r="D27" s="19">
        <f>SUMIFS('入出金帳'!$H$6:$H$505,'入出金帳'!$A$6:$A$505,"&gt;="&amp;B27,'入出金帳'!$A$6:$A$505,"&lt;"&amp;EDATE(B27,1))</f>
        <v/>
      </c>
      <c r="E27" s="19">
        <f>C27-D27</f>
        <v/>
      </c>
    </row>
    <row r="28">
      <c r="B28" s="20">
        <f>EDATE('設定'!$C$14,10)</f>
        <v/>
      </c>
      <c r="C28" s="19">
        <f>SUMIFS('入出金帳'!$G$6:$G$505,'入出金帳'!$A$6:$A$505,"&gt;="&amp;B28,'入出金帳'!$A$6:$A$505,"&lt;"&amp;EDATE(B28,1))</f>
        <v/>
      </c>
      <c r="D28" s="19">
        <f>SUMIFS('入出金帳'!$H$6:$H$505,'入出金帳'!$A$6:$A$505,"&gt;="&amp;B28,'入出金帳'!$A$6:$A$505,"&lt;"&amp;EDATE(B28,1))</f>
        <v/>
      </c>
      <c r="E28" s="19">
        <f>C28-D28</f>
        <v/>
      </c>
    </row>
    <row r="29">
      <c r="B29" s="20">
        <f>EDATE('設定'!$C$14,11)</f>
        <v/>
      </c>
      <c r="C29" s="19">
        <f>SUMIFS('入出金帳'!$G$6:$G$505,'入出金帳'!$A$6:$A$505,"&gt;="&amp;B29,'入出金帳'!$A$6:$A$505,"&lt;"&amp;EDATE(B29,1))</f>
        <v/>
      </c>
      <c r="D29" s="19">
        <f>SUMIFS('入出金帳'!$H$6:$H$505,'入出金帳'!$A$6:$A$505,"&gt;="&amp;B29,'入出金帳'!$A$6:$A$505,"&lt;"&amp;EDATE(B29,1))</f>
        <v/>
      </c>
      <c r="E29" s="19">
        <f>C29-D29</f>
        <v/>
      </c>
    </row>
    <row r="30">
      <c r="B30" s="21" t="inlineStr">
        <is>
          <t>合計</t>
        </is>
      </c>
      <c r="C30" s="22">
        <f>SUM(C18:C29)</f>
        <v/>
      </c>
      <c r="D30" s="22">
        <f>SUM(D18:D29)</f>
        <v/>
      </c>
      <c r="E30" s="22">
        <f>SUM(E18:E29)</f>
        <v/>
      </c>
    </row>
    <row r="33">
      <c r="B33" s="16" t="inlineStr">
        <is>
          <t>■ 案件別の収支（台帳の上から15件）</t>
        </is>
      </c>
    </row>
    <row r="34" ht="30" customHeight="1">
      <c r="B34" s="13" t="inlineStr">
        <is>
          <t>案件名</t>
        </is>
      </c>
      <c r="C34" s="13" t="inlineStr">
        <is>
          <t>状況</t>
        </is>
      </c>
      <c r="D34" s="13" t="inlineStr">
        <is>
          <t>請負金額</t>
        </is>
      </c>
      <c r="E34" s="13" t="inlineStr">
        <is>
          <t>外注費</t>
        </is>
      </c>
      <c r="F34" s="13" t="inlineStr">
        <is>
          <t>粗利</t>
        </is>
      </c>
      <c r="G34" s="13" t="inlineStr">
        <is>
          <t>粗利率</t>
        </is>
      </c>
      <c r="H34" s="13" t="inlineStr">
        <is>
          <t>未入金額</t>
        </is>
      </c>
    </row>
    <row r="35">
      <c r="B35" s="17">
        <f>IF('案件台帳'!B6="","",'案件台帳'!B6)</f>
        <v/>
      </c>
      <c r="C35" s="23">
        <f>IF('案件台帳'!B6="","",'案件台帳'!E6&amp;"")</f>
        <v/>
      </c>
      <c r="D35" s="19">
        <f>IF('案件台帳'!B6="","",'案件台帳'!F6)</f>
        <v/>
      </c>
      <c r="E35" s="19">
        <f>IF('案件台帳'!B6="","",'案件台帳'!I6)</f>
        <v/>
      </c>
      <c r="F35" s="19">
        <f>IF('案件台帳'!B6="","",'案件台帳'!J6)</f>
        <v/>
      </c>
      <c r="G35" s="24">
        <f>IF('案件台帳'!B6="","",'案件台帳'!K6)</f>
        <v/>
      </c>
      <c r="H35" s="19">
        <f>IF('案件台帳'!B6="","",'案件台帳'!M6)</f>
        <v/>
      </c>
    </row>
    <row r="36">
      <c r="B36" s="17">
        <f>IF('案件台帳'!B7="","",'案件台帳'!B7)</f>
        <v/>
      </c>
      <c r="C36" s="23">
        <f>IF('案件台帳'!B7="","",'案件台帳'!E7&amp;"")</f>
        <v/>
      </c>
      <c r="D36" s="19">
        <f>IF('案件台帳'!B7="","",'案件台帳'!F7)</f>
        <v/>
      </c>
      <c r="E36" s="19">
        <f>IF('案件台帳'!B7="","",'案件台帳'!I7)</f>
        <v/>
      </c>
      <c r="F36" s="19">
        <f>IF('案件台帳'!B7="","",'案件台帳'!J7)</f>
        <v/>
      </c>
      <c r="G36" s="24">
        <f>IF('案件台帳'!B7="","",'案件台帳'!K7)</f>
        <v/>
      </c>
      <c r="H36" s="19">
        <f>IF('案件台帳'!B7="","",'案件台帳'!M7)</f>
        <v/>
      </c>
    </row>
    <row r="37">
      <c r="B37" s="17">
        <f>IF('案件台帳'!B8="","",'案件台帳'!B8)</f>
        <v/>
      </c>
      <c r="C37" s="23">
        <f>IF('案件台帳'!B8="","",'案件台帳'!E8&amp;"")</f>
        <v/>
      </c>
      <c r="D37" s="19">
        <f>IF('案件台帳'!B8="","",'案件台帳'!F8)</f>
        <v/>
      </c>
      <c r="E37" s="19">
        <f>IF('案件台帳'!B8="","",'案件台帳'!I8)</f>
        <v/>
      </c>
      <c r="F37" s="19">
        <f>IF('案件台帳'!B8="","",'案件台帳'!J8)</f>
        <v/>
      </c>
      <c r="G37" s="24">
        <f>IF('案件台帳'!B8="","",'案件台帳'!K8)</f>
        <v/>
      </c>
      <c r="H37" s="19">
        <f>IF('案件台帳'!B8="","",'案件台帳'!M8)</f>
        <v/>
      </c>
    </row>
    <row r="38">
      <c r="B38" s="17">
        <f>IF('案件台帳'!B9="","",'案件台帳'!B9)</f>
        <v/>
      </c>
      <c r="C38" s="23">
        <f>IF('案件台帳'!B9="","",'案件台帳'!E9&amp;"")</f>
        <v/>
      </c>
      <c r="D38" s="19">
        <f>IF('案件台帳'!B9="","",'案件台帳'!F9)</f>
        <v/>
      </c>
      <c r="E38" s="19">
        <f>IF('案件台帳'!B9="","",'案件台帳'!I9)</f>
        <v/>
      </c>
      <c r="F38" s="19">
        <f>IF('案件台帳'!B9="","",'案件台帳'!J9)</f>
        <v/>
      </c>
      <c r="G38" s="24">
        <f>IF('案件台帳'!B9="","",'案件台帳'!K9)</f>
        <v/>
      </c>
      <c r="H38" s="19">
        <f>IF('案件台帳'!B9="","",'案件台帳'!M9)</f>
        <v/>
      </c>
    </row>
    <row r="39">
      <c r="B39" s="17">
        <f>IF('案件台帳'!B10="","",'案件台帳'!B10)</f>
        <v/>
      </c>
      <c r="C39" s="23">
        <f>IF('案件台帳'!B10="","",'案件台帳'!E10&amp;"")</f>
        <v/>
      </c>
      <c r="D39" s="19">
        <f>IF('案件台帳'!B10="","",'案件台帳'!F10)</f>
        <v/>
      </c>
      <c r="E39" s="19">
        <f>IF('案件台帳'!B10="","",'案件台帳'!I10)</f>
        <v/>
      </c>
      <c r="F39" s="19">
        <f>IF('案件台帳'!B10="","",'案件台帳'!J10)</f>
        <v/>
      </c>
      <c r="G39" s="24">
        <f>IF('案件台帳'!B10="","",'案件台帳'!K10)</f>
        <v/>
      </c>
      <c r="H39" s="19">
        <f>IF('案件台帳'!B10="","",'案件台帳'!M10)</f>
        <v/>
      </c>
    </row>
    <row r="40">
      <c r="B40" s="17">
        <f>IF('案件台帳'!B11="","",'案件台帳'!B11)</f>
        <v/>
      </c>
      <c r="C40" s="23">
        <f>IF('案件台帳'!B11="","",'案件台帳'!E11&amp;"")</f>
        <v/>
      </c>
      <c r="D40" s="19">
        <f>IF('案件台帳'!B11="","",'案件台帳'!F11)</f>
        <v/>
      </c>
      <c r="E40" s="19">
        <f>IF('案件台帳'!B11="","",'案件台帳'!I11)</f>
        <v/>
      </c>
      <c r="F40" s="19">
        <f>IF('案件台帳'!B11="","",'案件台帳'!J11)</f>
        <v/>
      </c>
      <c r="G40" s="24">
        <f>IF('案件台帳'!B11="","",'案件台帳'!K11)</f>
        <v/>
      </c>
      <c r="H40" s="19">
        <f>IF('案件台帳'!B11="","",'案件台帳'!M11)</f>
        <v/>
      </c>
    </row>
    <row r="41">
      <c r="B41" s="17">
        <f>IF('案件台帳'!B12="","",'案件台帳'!B12)</f>
        <v/>
      </c>
      <c r="C41" s="23">
        <f>IF('案件台帳'!B12="","",'案件台帳'!E12&amp;"")</f>
        <v/>
      </c>
      <c r="D41" s="19">
        <f>IF('案件台帳'!B12="","",'案件台帳'!F12)</f>
        <v/>
      </c>
      <c r="E41" s="19">
        <f>IF('案件台帳'!B12="","",'案件台帳'!I12)</f>
        <v/>
      </c>
      <c r="F41" s="19">
        <f>IF('案件台帳'!B12="","",'案件台帳'!J12)</f>
        <v/>
      </c>
      <c r="G41" s="24">
        <f>IF('案件台帳'!B12="","",'案件台帳'!K12)</f>
        <v/>
      </c>
      <c r="H41" s="19">
        <f>IF('案件台帳'!B12="","",'案件台帳'!M12)</f>
        <v/>
      </c>
    </row>
    <row r="42">
      <c r="B42" s="17">
        <f>IF('案件台帳'!B13="","",'案件台帳'!B13)</f>
        <v/>
      </c>
      <c r="C42" s="23">
        <f>IF('案件台帳'!B13="","",'案件台帳'!E13&amp;"")</f>
        <v/>
      </c>
      <c r="D42" s="19">
        <f>IF('案件台帳'!B13="","",'案件台帳'!F13)</f>
        <v/>
      </c>
      <c r="E42" s="19">
        <f>IF('案件台帳'!B13="","",'案件台帳'!I13)</f>
        <v/>
      </c>
      <c r="F42" s="19">
        <f>IF('案件台帳'!B13="","",'案件台帳'!J13)</f>
        <v/>
      </c>
      <c r="G42" s="24">
        <f>IF('案件台帳'!B13="","",'案件台帳'!K13)</f>
        <v/>
      </c>
      <c r="H42" s="19">
        <f>IF('案件台帳'!B13="","",'案件台帳'!M13)</f>
        <v/>
      </c>
    </row>
    <row r="43">
      <c r="B43" s="17">
        <f>IF('案件台帳'!B14="","",'案件台帳'!B14)</f>
        <v/>
      </c>
      <c r="C43" s="23">
        <f>IF('案件台帳'!B14="","",'案件台帳'!E14&amp;"")</f>
        <v/>
      </c>
      <c r="D43" s="19">
        <f>IF('案件台帳'!B14="","",'案件台帳'!F14)</f>
        <v/>
      </c>
      <c r="E43" s="19">
        <f>IF('案件台帳'!B14="","",'案件台帳'!I14)</f>
        <v/>
      </c>
      <c r="F43" s="19">
        <f>IF('案件台帳'!B14="","",'案件台帳'!J14)</f>
        <v/>
      </c>
      <c r="G43" s="24">
        <f>IF('案件台帳'!B14="","",'案件台帳'!K14)</f>
        <v/>
      </c>
      <c r="H43" s="19">
        <f>IF('案件台帳'!B14="","",'案件台帳'!M14)</f>
        <v/>
      </c>
    </row>
    <row r="44">
      <c r="B44" s="17">
        <f>IF('案件台帳'!B15="","",'案件台帳'!B15)</f>
        <v/>
      </c>
      <c r="C44" s="23">
        <f>IF('案件台帳'!B15="","",'案件台帳'!E15&amp;"")</f>
        <v/>
      </c>
      <c r="D44" s="19">
        <f>IF('案件台帳'!B15="","",'案件台帳'!F15)</f>
        <v/>
      </c>
      <c r="E44" s="19">
        <f>IF('案件台帳'!B15="","",'案件台帳'!I15)</f>
        <v/>
      </c>
      <c r="F44" s="19">
        <f>IF('案件台帳'!B15="","",'案件台帳'!J15)</f>
        <v/>
      </c>
      <c r="G44" s="24">
        <f>IF('案件台帳'!B15="","",'案件台帳'!K15)</f>
        <v/>
      </c>
      <c r="H44" s="19">
        <f>IF('案件台帳'!B15="","",'案件台帳'!M15)</f>
        <v/>
      </c>
    </row>
    <row r="45">
      <c r="B45" s="17">
        <f>IF('案件台帳'!B16="","",'案件台帳'!B16)</f>
        <v/>
      </c>
      <c r="C45" s="23">
        <f>IF('案件台帳'!B16="","",'案件台帳'!E16&amp;"")</f>
        <v/>
      </c>
      <c r="D45" s="19">
        <f>IF('案件台帳'!B16="","",'案件台帳'!F16)</f>
        <v/>
      </c>
      <c r="E45" s="19">
        <f>IF('案件台帳'!B16="","",'案件台帳'!I16)</f>
        <v/>
      </c>
      <c r="F45" s="19">
        <f>IF('案件台帳'!B16="","",'案件台帳'!J16)</f>
        <v/>
      </c>
      <c r="G45" s="24">
        <f>IF('案件台帳'!B16="","",'案件台帳'!K16)</f>
        <v/>
      </c>
      <c r="H45" s="19">
        <f>IF('案件台帳'!B16="","",'案件台帳'!M16)</f>
        <v/>
      </c>
    </row>
    <row r="46">
      <c r="B46" s="17">
        <f>IF('案件台帳'!B17="","",'案件台帳'!B17)</f>
        <v/>
      </c>
      <c r="C46" s="23">
        <f>IF('案件台帳'!B17="","",'案件台帳'!E17&amp;"")</f>
        <v/>
      </c>
      <c r="D46" s="19">
        <f>IF('案件台帳'!B17="","",'案件台帳'!F17)</f>
        <v/>
      </c>
      <c r="E46" s="19">
        <f>IF('案件台帳'!B17="","",'案件台帳'!I17)</f>
        <v/>
      </c>
      <c r="F46" s="19">
        <f>IF('案件台帳'!B17="","",'案件台帳'!J17)</f>
        <v/>
      </c>
      <c r="G46" s="24">
        <f>IF('案件台帳'!B17="","",'案件台帳'!K17)</f>
        <v/>
      </c>
      <c r="H46" s="19">
        <f>IF('案件台帳'!B17="","",'案件台帳'!M17)</f>
        <v/>
      </c>
    </row>
    <row r="47">
      <c r="B47" s="17">
        <f>IF('案件台帳'!B18="","",'案件台帳'!B18)</f>
        <v/>
      </c>
      <c r="C47" s="23">
        <f>IF('案件台帳'!B18="","",'案件台帳'!E18&amp;"")</f>
        <v/>
      </c>
      <c r="D47" s="19">
        <f>IF('案件台帳'!B18="","",'案件台帳'!F18)</f>
        <v/>
      </c>
      <c r="E47" s="19">
        <f>IF('案件台帳'!B18="","",'案件台帳'!I18)</f>
        <v/>
      </c>
      <c r="F47" s="19">
        <f>IF('案件台帳'!B18="","",'案件台帳'!J18)</f>
        <v/>
      </c>
      <c r="G47" s="24">
        <f>IF('案件台帳'!B18="","",'案件台帳'!K18)</f>
        <v/>
      </c>
      <c r="H47" s="19">
        <f>IF('案件台帳'!B18="","",'案件台帳'!M18)</f>
        <v/>
      </c>
    </row>
    <row r="48">
      <c r="B48" s="17">
        <f>IF('案件台帳'!B19="","",'案件台帳'!B19)</f>
        <v/>
      </c>
      <c r="C48" s="23">
        <f>IF('案件台帳'!B19="","",'案件台帳'!E19&amp;"")</f>
        <v/>
      </c>
      <c r="D48" s="19">
        <f>IF('案件台帳'!B19="","",'案件台帳'!F19)</f>
        <v/>
      </c>
      <c r="E48" s="19">
        <f>IF('案件台帳'!B19="","",'案件台帳'!I19)</f>
        <v/>
      </c>
      <c r="F48" s="19">
        <f>IF('案件台帳'!B19="","",'案件台帳'!J19)</f>
        <v/>
      </c>
      <c r="G48" s="24">
        <f>IF('案件台帳'!B19="","",'案件台帳'!K19)</f>
        <v/>
      </c>
      <c r="H48" s="19">
        <f>IF('案件台帳'!B19="","",'案件台帳'!M19)</f>
        <v/>
      </c>
    </row>
    <row r="49">
      <c r="B49" s="17">
        <f>IF('案件台帳'!B20="","",'案件台帳'!B20)</f>
        <v/>
      </c>
      <c r="C49" s="23">
        <f>IF('案件台帳'!B20="","",'案件台帳'!E20&amp;"")</f>
        <v/>
      </c>
      <c r="D49" s="19">
        <f>IF('案件台帳'!B20="","",'案件台帳'!F20)</f>
        <v/>
      </c>
      <c r="E49" s="19">
        <f>IF('案件台帳'!B20="","",'案件台帳'!I20)</f>
        <v/>
      </c>
      <c r="F49" s="19">
        <f>IF('案件台帳'!B20="","",'案件台帳'!J20)</f>
        <v/>
      </c>
      <c r="G49" s="24">
        <f>IF('案件台帳'!B20="","",'案件台帳'!K20)</f>
        <v/>
      </c>
      <c r="H49" s="19">
        <f>IF('案件台帳'!B20="","",'案件台帳'!M20)</f>
        <v/>
      </c>
    </row>
  </sheetData>
  <conditionalFormatting sqref="F5">
    <cfRule type="expression" priority="1" dxfId="0">
      <formula>F5&gt;0</formula>
    </cfRule>
  </conditionalFormatting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40" customWidth="1" min="3" max="3"/>
    <col width="24" customWidth="1" min="4" max="4"/>
    <col width="20" customWidth="1" min="5" max="5"/>
  </cols>
  <sheetData>
    <row r="1">
      <c r="A1" s="11" t="inlineStr">
        <is>
          <t>設定（自社情報・リスト）</t>
        </is>
      </c>
    </row>
    <row r="2">
      <c r="A2" s="12" t="inlineStr">
        <is>
          <t>黄色のセルを書き換えてください。他のシートに自動で反映されます。</t>
        </is>
      </c>
    </row>
    <row r="3">
      <c r="B3" s="16" t="inlineStr">
        <is>
          <t>■ 自社情報・基本設定</t>
        </is>
      </c>
    </row>
    <row r="4">
      <c r="B4" s="8" t="inlineStr">
        <is>
          <t>会社名</t>
        </is>
      </c>
      <c r="C4" s="25" t="inlineStr">
        <is>
          <t>株式会社サンプル工務店</t>
        </is>
      </c>
    </row>
    <row r="5">
      <c r="B5" s="8" t="inlineStr">
        <is>
          <t>代表者名</t>
        </is>
      </c>
      <c r="C5" s="25" t="inlineStr">
        <is>
          <t>代表取締役 山田 太郎</t>
        </is>
      </c>
    </row>
    <row r="6">
      <c r="B6" s="8" t="inlineStr">
        <is>
          <t>郵便番号</t>
        </is>
      </c>
      <c r="C6" s="25" t="inlineStr">
        <is>
          <t>000-0000</t>
        </is>
      </c>
    </row>
    <row r="7">
      <c r="B7" s="8" t="inlineStr">
        <is>
          <t>住所</t>
        </is>
      </c>
      <c r="C7" s="25" t="inlineStr">
        <is>
          <t>○○県○○市サンプル町1-2-3</t>
        </is>
      </c>
    </row>
    <row r="8">
      <c r="B8" s="8" t="inlineStr">
        <is>
          <t>電話番号</t>
        </is>
      </c>
      <c r="C8" s="25" t="inlineStr">
        <is>
          <t>000-0000-0000</t>
        </is>
      </c>
    </row>
    <row r="9">
      <c r="B9" s="8" t="inlineStr">
        <is>
          <t>インボイス登録番号</t>
        </is>
      </c>
      <c r="C9" s="25" t="inlineStr">
        <is>
          <t>T0000000000000</t>
        </is>
      </c>
    </row>
    <row r="10">
      <c r="B10" s="8" t="inlineStr">
        <is>
          <t>振込先</t>
        </is>
      </c>
      <c r="C10" s="25" t="inlineStr">
        <is>
          <t>サンプル銀行 ○○支店 普通 0000000 株式会社サンプル工務店</t>
        </is>
      </c>
    </row>
    <row r="11">
      <c r="B11" s="8" t="inlineStr">
        <is>
          <t>消費税率</t>
        </is>
      </c>
      <c r="C11" s="26" t="n">
        <v>0.1</v>
      </c>
    </row>
    <row r="12">
      <c r="B12" s="8" t="inlineStr">
        <is>
          <t>支払サイト（請求日から何日後）</t>
        </is>
      </c>
      <c r="C12" s="27" t="n">
        <v>30</v>
      </c>
    </row>
    <row r="13">
      <c r="B13" s="8" t="inlineStr">
        <is>
          <t>見積の有効期限（何日）</t>
        </is>
      </c>
      <c r="C13" s="27" t="n">
        <v>30</v>
      </c>
    </row>
    <row r="14">
      <c r="B14" s="8" t="inlineStr">
        <is>
          <t>集計の開始月（ダッシュボード）</t>
        </is>
      </c>
      <c r="C14" s="28" t="n">
        <v>46204</v>
      </c>
    </row>
    <row r="15">
      <c r="B15" s="8" t="inlineStr">
        <is>
          <t>入出金帳の繰越残高</t>
        </is>
      </c>
      <c r="C15" s="29" t="n">
        <v>1000000</v>
      </c>
    </row>
    <row r="17">
      <c r="B17" s="16" t="inlineStr">
        <is>
          <t>■ ドロップダウンの選択肢（増やす・書き換えOK。空き行に追記できます）</t>
        </is>
      </c>
    </row>
    <row r="18" ht="30" customHeight="1">
      <c r="B18" s="13" t="inlineStr">
        <is>
          <t>案件の状況</t>
        </is>
      </c>
      <c r="C18" s="13" t="inlineStr">
        <is>
          <t>工種</t>
        </is>
      </c>
      <c r="D18" s="13" t="inlineStr">
        <is>
          <t>入出金の科目</t>
        </is>
      </c>
      <c r="E18" s="13" t="inlineStr">
        <is>
          <t>支払状況（変更しない）</t>
        </is>
      </c>
    </row>
    <row r="19">
      <c r="B19" s="25" t="inlineStr">
        <is>
          <t>見積中</t>
        </is>
      </c>
      <c r="C19" s="25" t="inlineStr">
        <is>
          <t>解体</t>
        </is>
      </c>
      <c r="D19" s="25" t="inlineStr">
        <is>
          <t>請負代金入金</t>
        </is>
      </c>
      <c r="E19" s="17" t="inlineStr">
        <is>
          <t>未払い</t>
        </is>
      </c>
    </row>
    <row r="20">
      <c r="B20" s="25" t="inlineStr">
        <is>
          <t>受注</t>
        </is>
      </c>
      <c r="C20" s="25" t="inlineStr">
        <is>
          <t>仮設・足場</t>
        </is>
      </c>
      <c r="D20" s="25" t="inlineStr">
        <is>
          <t>その他入金</t>
        </is>
      </c>
      <c r="E20" s="17" t="inlineStr">
        <is>
          <t>問題あり</t>
        </is>
      </c>
    </row>
    <row r="21">
      <c r="B21" s="25" t="inlineStr">
        <is>
          <t>施工中</t>
        </is>
      </c>
      <c r="C21" s="25" t="inlineStr">
        <is>
          <t>土工・基礎</t>
        </is>
      </c>
      <c r="D21" s="25" t="inlineStr">
        <is>
          <t>外注費</t>
        </is>
      </c>
      <c r="E21" s="17" t="inlineStr">
        <is>
          <t>支払い済み</t>
        </is>
      </c>
    </row>
    <row r="22">
      <c r="B22" s="25" t="inlineStr">
        <is>
          <t>完工</t>
        </is>
      </c>
      <c r="C22" s="25" t="inlineStr">
        <is>
          <t>鉄筋・型枠</t>
        </is>
      </c>
      <c r="D22" s="25" t="inlineStr">
        <is>
          <t>材料費</t>
        </is>
      </c>
      <c r="E22" s="17" t="n"/>
    </row>
    <row r="23">
      <c r="B23" s="25" t="inlineStr">
        <is>
          <t>入金済み</t>
        </is>
      </c>
      <c r="C23" s="25" t="inlineStr">
        <is>
          <t>大工・木工</t>
        </is>
      </c>
      <c r="D23" s="25" t="inlineStr">
        <is>
          <t>交通費（ETC・ガソリン）</t>
        </is>
      </c>
      <c r="E23" s="17" t="n"/>
    </row>
    <row r="24">
      <c r="B24" s="25" t="inlineStr">
        <is>
          <t>失注</t>
        </is>
      </c>
      <c r="C24" s="25" t="inlineStr">
        <is>
          <t>内装</t>
        </is>
      </c>
      <c r="D24" s="25" t="inlineStr">
        <is>
          <t>駐車場</t>
        </is>
      </c>
      <c r="E24" s="17" t="n"/>
    </row>
    <row r="25">
      <c r="B25" s="25" t="n"/>
      <c r="C25" s="25" t="inlineStr">
        <is>
          <t>塗装</t>
        </is>
      </c>
      <c r="D25" s="25" t="inlineStr">
        <is>
          <t>消耗品</t>
        </is>
      </c>
      <c r="E25" s="17" t="n"/>
    </row>
    <row r="26">
      <c r="B26" s="25" t="n"/>
      <c r="C26" s="25" t="inlineStr">
        <is>
          <t>防水</t>
        </is>
      </c>
      <c r="D26" s="25" t="inlineStr">
        <is>
          <t>事務所経費</t>
        </is>
      </c>
      <c r="E26" s="17" t="n"/>
    </row>
    <row r="27">
      <c r="B27" s="25" t="n"/>
      <c r="C27" s="25" t="inlineStr">
        <is>
          <t>左官</t>
        </is>
      </c>
      <c r="D27" s="25" t="inlineStr">
        <is>
          <t>給与・賞与</t>
        </is>
      </c>
      <c r="E27" s="17" t="n"/>
    </row>
    <row r="28">
      <c r="B28" s="25" t="n"/>
      <c r="C28" s="25" t="inlineStr">
        <is>
          <t>電気</t>
        </is>
      </c>
      <c r="D28" s="25" t="inlineStr">
        <is>
          <t>税金・保険</t>
        </is>
      </c>
      <c r="E28" s="17" t="n"/>
    </row>
    <row r="29">
      <c r="B29" s="25" t="n"/>
      <c r="C29" s="25" t="inlineStr">
        <is>
          <t>給排水・設備</t>
        </is>
      </c>
      <c r="D29" s="25" t="inlineStr">
        <is>
          <t>その他出金</t>
        </is>
      </c>
      <c r="E29" s="17" t="n"/>
    </row>
    <row r="30">
      <c r="B30" s="25" t="n"/>
      <c r="C30" s="25" t="inlineStr">
        <is>
          <t>屋根・板金</t>
        </is>
      </c>
      <c r="D30" s="25" t="n"/>
      <c r="E30" s="17" t="n"/>
    </row>
    <row r="31">
      <c r="B31" s="25" t="n"/>
      <c r="C31" s="25" t="inlineStr">
        <is>
          <t>外構</t>
        </is>
      </c>
      <c r="D31" s="25" t="n"/>
      <c r="E31" s="17" t="n"/>
    </row>
    <row r="32">
      <c r="B32" s="25" t="n"/>
      <c r="C32" s="25" t="inlineStr">
        <is>
          <t>清掃・廃材処分</t>
        </is>
      </c>
      <c r="D32" s="25" t="n"/>
      <c r="E32" s="17" t="n"/>
    </row>
    <row r="33">
      <c r="B33" s="25" t="n"/>
      <c r="C33" s="25" t="inlineStr">
        <is>
          <t>諸経費</t>
        </is>
      </c>
      <c r="D33" s="25" t="n"/>
      <c r="E33" s="17" t="n"/>
    </row>
    <row r="34">
      <c r="B34" s="25" t="n"/>
      <c r="C34" s="25" t="inlineStr">
        <is>
          <t>その他</t>
        </is>
      </c>
      <c r="D34" s="25" t="n"/>
      <c r="E34" s="17" t="n"/>
    </row>
    <row r="35">
      <c r="B35" s="25" t="n"/>
      <c r="C35" s="25" t="n"/>
      <c r="D35" s="25" t="n"/>
      <c r="E35" s="17" t="n"/>
    </row>
    <row r="36">
      <c r="B36" s="25" t="n"/>
      <c r="C36" s="25" t="n"/>
      <c r="D36" s="25" t="n"/>
      <c r="E36" s="17" t="n"/>
    </row>
    <row r="37">
      <c r="B37" s="25" t="n"/>
      <c r="C37" s="25" t="n"/>
      <c r="D37" s="25" t="n"/>
      <c r="E37" s="17" t="n"/>
    </row>
    <row r="38">
      <c r="B38" s="25" t="n"/>
      <c r="C38" s="25" t="n"/>
      <c r="D38" s="25" t="n"/>
      <c r="E38" s="17" t="n"/>
    </row>
  </sheetData>
  <printOptions horizontalCentered="1"/>
  <pageMargins left="0.75" right="0.75" top="1" bottom="1" header="0.5" footer="0.5"/>
  <pageSetup orientation="portrait" paperSize="8" fitToHeight="0" fitToWidth="1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N1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24" customWidth="1" min="3" max="3"/>
    <col width="26" customWidth="1" min="4" max="4"/>
    <col width="10" customWidth="1" min="5" max="5"/>
    <col width="15" customWidth="1" min="6" max="6"/>
    <col width="13" customWidth="1" min="7" max="7"/>
    <col width="15" customWidth="1" min="8" max="8"/>
    <col width="15" customWidth="1" min="9" max="9"/>
    <col width="15" customWidth="1" min="10" max="10"/>
    <col width="9" customWidth="1" min="11" max="11"/>
    <col width="15" customWidth="1" min="12" max="12"/>
    <col width="15" customWidth="1" min="13" max="13"/>
    <col width="24" customWidth="1" min="14" max="14"/>
  </cols>
  <sheetData>
    <row r="1">
      <c r="A1" s="11" t="inlineStr">
        <is>
          <t>案件台帳</t>
        </is>
      </c>
    </row>
    <row r="2">
      <c r="A2" s="12" t="inlineStr">
        <is>
          <t>案件を1行ずつ登録します。ここに登録した「案件No」を、他のシートで選びます。　黄＝入力　灰＝自動計算</t>
        </is>
      </c>
    </row>
    <row r="3">
      <c r="A3" s="30" t="inlineStr">
        <is>
          <t>合計（見積中・失注は除く）</t>
        </is>
      </c>
      <c r="F3" s="22">
        <f>SUM(F6:F105)-SUMIF($E$6:$E$105,"見積中",F6:F105)-SUMIF($E$6:$E$105,"失注",F6:F105)</f>
        <v/>
      </c>
      <c r="G3" s="22">
        <f>SUM(G6:G105)-SUMIF($E$6:$E$105,"見積中",G6:G105)-SUMIF($E$6:$E$105,"失注",G6:G105)</f>
        <v/>
      </c>
      <c r="H3" s="22">
        <f>SUM(H6:H105)-SUMIF($E$6:$E$105,"見積中",H6:H105)-SUMIF($E$6:$E$105,"失注",H6:H105)</f>
        <v/>
      </c>
      <c r="I3" s="22">
        <f>SUM(I6:I105)-SUMIF($E$6:$E$105,"見積中",I6:I105)-SUMIF($E$6:$E$105,"失注",I6:I105)</f>
        <v/>
      </c>
      <c r="J3" s="22">
        <f>SUM(J6:J105)</f>
        <v/>
      </c>
      <c r="K3" s="31">
        <f>IF(N(F3)=0,"",J3/F3)</f>
        <v/>
      </c>
      <c r="L3" s="22">
        <f>SUM(L6:L105)</f>
        <v/>
      </c>
      <c r="M3" s="22">
        <f>SUM(M6:M105)</f>
        <v/>
      </c>
    </row>
    <row r="5" ht="30" customHeight="1">
      <c r="A5" s="13" t="inlineStr">
        <is>
          <t>案件No</t>
        </is>
      </c>
      <c r="B5" s="13" t="inlineStr">
        <is>
          <t>案件名</t>
        </is>
      </c>
      <c r="C5" s="13" t="inlineStr">
        <is>
          <t>取引先</t>
        </is>
      </c>
      <c r="D5" s="13" t="inlineStr">
        <is>
          <t>現場住所</t>
        </is>
      </c>
      <c r="E5" s="13" t="inlineStr">
        <is>
          <t>状況</t>
        </is>
      </c>
      <c r="F5" s="13" t="inlineStr">
        <is>
          <t>請負金額
（税抜）</t>
        </is>
      </c>
      <c r="G5" s="13" t="inlineStr">
        <is>
          <t>消費税</t>
        </is>
      </c>
      <c r="H5" s="13" t="inlineStr">
        <is>
          <t>請負金額
（税込）</t>
        </is>
      </c>
      <c r="I5" s="13" t="inlineStr">
        <is>
          <t>外注費計
（税抜）</t>
        </is>
      </c>
      <c r="J5" s="13" t="inlineStr">
        <is>
          <t>粗利
（税抜）</t>
        </is>
      </c>
      <c r="K5" s="13" t="inlineStr">
        <is>
          <t>粗利率</t>
        </is>
      </c>
      <c r="L5" s="13" t="inlineStr">
        <is>
          <t>入金済額
（税込）</t>
        </is>
      </c>
      <c r="M5" s="13" t="inlineStr">
        <is>
          <t>未入金額
（税込）</t>
        </is>
      </c>
      <c r="N5" s="13" t="inlineStr">
        <is>
          <t>備考</t>
        </is>
      </c>
    </row>
    <row r="6">
      <c r="A6" s="25" t="inlineStr">
        <is>
          <t>2610-01</t>
        </is>
      </c>
      <c r="B6" s="25" t="inlineStr">
        <is>
          <t>サンプルマンション 外壁改修工事</t>
        </is>
      </c>
      <c r="C6" s="25" t="inlineStr">
        <is>
          <t>サンプル不動産株式会社</t>
        </is>
      </c>
      <c r="D6" s="25" t="inlineStr">
        <is>
          <t>○○県○○市サンプル町1-1</t>
        </is>
      </c>
      <c r="E6" s="25" t="inlineStr">
        <is>
          <t>施工中</t>
        </is>
      </c>
      <c r="F6" s="29" t="n">
        <v>8000000</v>
      </c>
      <c r="G6" s="19">
        <f>IF(F6="","",ROUND(F6*'設定'!$C$11,0))</f>
        <v/>
      </c>
      <c r="H6" s="19">
        <f>IF(F6="","",F6+G6)</f>
        <v/>
      </c>
      <c r="I6" s="19">
        <f>IF(A6="","",SUMPRODUCT(('予算管理'!$A$6:$A$205=A6)*1,'予算管理'!$E$6:$E$205))</f>
        <v/>
      </c>
      <c r="J6" s="19">
        <f>IF(OR(A6="",F6="",E6="見積中",E6="失注"),"",F6-I6)</f>
        <v/>
      </c>
      <c r="K6" s="24">
        <f>IF(OR(J6="",N(F6)=0),"",J6/F6)</f>
        <v/>
      </c>
      <c r="L6" s="19">
        <f>IF(A6="","",SUMPRODUCT(('入出金帳'!$B$6:$B$505=A6)*1,'入出金帳'!$G$6:$G$505))</f>
        <v/>
      </c>
      <c r="M6" s="19">
        <f>IF(OR(A6="",H6="",E6="見積中",E6="失注"),"",H6-L6)</f>
        <v/>
      </c>
      <c r="N6" s="25" t="n"/>
    </row>
    <row r="7">
      <c r="A7" s="25" t="inlineStr">
        <is>
          <t>2610-02</t>
        </is>
      </c>
      <c r="B7" s="25" t="inlineStr">
        <is>
          <t>サンプル店舗 内装工事</t>
        </is>
      </c>
      <c r="C7" s="25" t="inlineStr">
        <is>
          <t>サンプル商事株式会社</t>
        </is>
      </c>
      <c r="D7" s="25" t="inlineStr">
        <is>
          <t>○○県○○市サンプル町2-2</t>
        </is>
      </c>
      <c r="E7" s="25" t="inlineStr">
        <is>
          <t>受注</t>
        </is>
      </c>
      <c r="F7" s="29" t="n">
        <v>3500000</v>
      </c>
      <c r="G7" s="19">
        <f>IF(F7="","",ROUND(F7*'設定'!$C$11,0))</f>
        <v/>
      </c>
      <c r="H7" s="19">
        <f>IF(F7="","",F7+G7)</f>
        <v/>
      </c>
      <c r="I7" s="19">
        <f>IF(A7="","",SUMPRODUCT(('予算管理'!$A$6:$A$205=A7)*1,'予算管理'!$E$6:$E$205))</f>
        <v/>
      </c>
      <c r="J7" s="19">
        <f>IF(OR(A7="",F7="",E7="見積中",E7="失注"),"",F7-I7)</f>
        <v/>
      </c>
      <c r="K7" s="24">
        <f>IF(OR(J7="",N(F7)=0),"",J7/F7)</f>
        <v/>
      </c>
      <c r="L7" s="19">
        <f>IF(A7="","",SUMPRODUCT(('入出金帳'!$B$6:$B$505=A7)*1,'入出金帳'!$G$6:$G$505))</f>
        <v/>
      </c>
      <c r="M7" s="19">
        <f>IF(OR(A7="",H7="",E7="見積中",E7="失注"),"",H7-L7)</f>
        <v/>
      </c>
      <c r="N7" s="25" t="n"/>
    </row>
    <row r="8">
      <c r="A8" s="25" t="inlineStr">
        <is>
          <t>2609-03</t>
        </is>
      </c>
      <c r="B8" s="25" t="inlineStr">
        <is>
          <t>サンプル邸 屋根防水工事</t>
        </is>
      </c>
      <c r="C8" s="25" t="inlineStr">
        <is>
          <t>個人（サンプル様）</t>
        </is>
      </c>
      <c r="D8" s="25" t="inlineStr">
        <is>
          <t>○○県○○市サンプル町3-3</t>
        </is>
      </c>
      <c r="E8" s="25" t="inlineStr">
        <is>
          <t>完工</t>
        </is>
      </c>
      <c r="F8" s="29" t="n">
        <v>1200000</v>
      </c>
      <c r="G8" s="19">
        <f>IF(F8="","",ROUND(F8*'設定'!$C$11,0))</f>
        <v/>
      </c>
      <c r="H8" s="19">
        <f>IF(F8="","",F8+G8)</f>
        <v/>
      </c>
      <c r="I8" s="19">
        <f>IF(A8="","",SUMPRODUCT(('予算管理'!$A$6:$A$205=A8)*1,'予算管理'!$E$6:$E$205))</f>
        <v/>
      </c>
      <c r="J8" s="19">
        <f>IF(OR(A8="",F8="",E8="見積中",E8="失注"),"",F8-I8)</f>
        <v/>
      </c>
      <c r="K8" s="24">
        <f>IF(OR(J8="",N(F8)=0),"",J8/F8)</f>
        <v/>
      </c>
      <c r="L8" s="19">
        <f>IF(A8="","",SUMPRODUCT(('入出金帳'!$B$6:$B$505=A8)*1,'入出金帳'!$G$6:$G$505))</f>
        <v/>
      </c>
      <c r="M8" s="19">
        <f>IF(OR(A8="",H8="",E8="見積中",E8="失注"),"",H8-L8)</f>
        <v/>
      </c>
      <c r="N8" s="25" t="n"/>
    </row>
    <row r="9">
      <c r="A9" s="25" t="inlineStr">
        <is>
          <t>2610-04</t>
        </is>
      </c>
      <c r="B9" s="25" t="inlineStr">
        <is>
          <t>サンプルビル 解体工事</t>
        </is>
      </c>
      <c r="C9" s="25" t="inlineStr">
        <is>
          <t>サンプル開発株式会社</t>
        </is>
      </c>
      <c r="D9" s="25" t="inlineStr">
        <is>
          <t>○○県○○市サンプル町4-4</t>
        </is>
      </c>
      <c r="E9" s="25" t="inlineStr">
        <is>
          <t>見積中</t>
        </is>
      </c>
      <c r="F9" s="29" t="n">
        <v>2400000</v>
      </c>
      <c r="G9" s="19">
        <f>IF(F9="","",ROUND(F9*'設定'!$C$11,0))</f>
        <v/>
      </c>
      <c r="H9" s="19">
        <f>IF(F9="","",F9+G9)</f>
        <v/>
      </c>
      <c r="I9" s="19">
        <f>IF(A9="","",SUMPRODUCT(('予算管理'!$A$6:$A$205=A9)*1,'予算管理'!$E$6:$E$205))</f>
        <v/>
      </c>
      <c r="J9" s="19">
        <f>IF(OR(A9="",F9="",E9="見積中",E9="失注"),"",F9-I9)</f>
        <v/>
      </c>
      <c r="K9" s="24">
        <f>IF(OR(J9="",N(F9)=0),"",J9/F9)</f>
        <v/>
      </c>
      <c r="L9" s="19">
        <f>IF(A9="","",SUMPRODUCT(('入出金帳'!$B$6:$B$505=A9)*1,'入出金帳'!$G$6:$G$505))</f>
        <v/>
      </c>
      <c r="M9" s="19">
        <f>IF(OR(A9="",H9="",E9="見積中",E9="失注"),"",H9-L9)</f>
        <v/>
      </c>
      <c r="N9" s="25" t="n"/>
    </row>
    <row r="10">
      <c r="A10" s="25" t="n"/>
      <c r="B10" s="25" t="n"/>
      <c r="C10" s="25" t="n"/>
      <c r="D10" s="25" t="n"/>
      <c r="E10" s="25" t="n"/>
      <c r="F10" s="29" t="n"/>
      <c r="G10" s="19">
        <f>IF(F10="","",ROUND(F10*'設定'!$C$11,0))</f>
        <v/>
      </c>
      <c r="H10" s="19">
        <f>IF(F10="","",F10+G10)</f>
        <v/>
      </c>
      <c r="I10" s="19">
        <f>IF(A10="","",SUMPRODUCT(('予算管理'!$A$6:$A$205=A10)*1,'予算管理'!$E$6:$E$205))</f>
        <v/>
      </c>
      <c r="J10" s="19">
        <f>IF(OR(A10="",F10="",E10="見積中",E10="失注"),"",F10-I10)</f>
        <v/>
      </c>
      <c r="K10" s="24">
        <f>IF(OR(J10="",N(F10)=0),"",J10/F10)</f>
        <v/>
      </c>
      <c r="L10" s="19">
        <f>IF(A10="","",SUMPRODUCT(('入出金帳'!$B$6:$B$505=A10)*1,'入出金帳'!$G$6:$G$505))</f>
        <v/>
      </c>
      <c r="M10" s="19">
        <f>IF(OR(A10="",H10="",E10="見積中",E10="失注"),"",H10-L10)</f>
        <v/>
      </c>
      <c r="N10" s="25" t="n"/>
    </row>
    <row r="11">
      <c r="A11" s="25" t="n"/>
      <c r="B11" s="25" t="n"/>
      <c r="C11" s="25" t="n"/>
      <c r="D11" s="25" t="n"/>
      <c r="E11" s="25" t="n"/>
      <c r="F11" s="29" t="n"/>
      <c r="G11" s="19">
        <f>IF(F11="","",ROUND(F11*'設定'!$C$11,0))</f>
        <v/>
      </c>
      <c r="H11" s="19">
        <f>IF(F11="","",F11+G11)</f>
        <v/>
      </c>
      <c r="I11" s="19">
        <f>IF(A11="","",SUMPRODUCT(('予算管理'!$A$6:$A$205=A11)*1,'予算管理'!$E$6:$E$205))</f>
        <v/>
      </c>
      <c r="J11" s="19">
        <f>IF(OR(A11="",F11="",E11="見積中",E11="失注"),"",F11-I11)</f>
        <v/>
      </c>
      <c r="K11" s="24">
        <f>IF(OR(J11="",N(F11)=0),"",J11/F11)</f>
        <v/>
      </c>
      <c r="L11" s="19">
        <f>IF(A11="","",SUMPRODUCT(('入出金帳'!$B$6:$B$505=A11)*1,'入出金帳'!$G$6:$G$505))</f>
        <v/>
      </c>
      <c r="M11" s="19">
        <f>IF(OR(A11="",H11="",E11="見積中",E11="失注"),"",H11-L11)</f>
        <v/>
      </c>
      <c r="N11" s="25" t="n"/>
    </row>
    <row r="12">
      <c r="A12" s="25" t="n"/>
      <c r="B12" s="25" t="n"/>
      <c r="C12" s="25" t="n"/>
      <c r="D12" s="25" t="n"/>
      <c r="E12" s="25" t="n"/>
      <c r="F12" s="29" t="n"/>
      <c r="G12" s="19">
        <f>IF(F12="","",ROUND(F12*'設定'!$C$11,0))</f>
        <v/>
      </c>
      <c r="H12" s="19">
        <f>IF(F12="","",F12+G12)</f>
        <v/>
      </c>
      <c r="I12" s="19">
        <f>IF(A12="","",SUMPRODUCT(('予算管理'!$A$6:$A$205=A12)*1,'予算管理'!$E$6:$E$205))</f>
        <v/>
      </c>
      <c r="J12" s="19">
        <f>IF(OR(A12="",F12="",E12="見積中",E12="失注"),"",F12-I12)</f>
        <v/>
      </c>
      <c r="K12" s="24">
        <f>IF(OR(J12="",N(F12)=0),"",J12/F12)</f>
        <v/>
      </c>
      <c r="L12" s="19">
        <f>IF(A12="","",SUMPRODUCT(('入出金帳'!$B$6:$B$505=A12)*1,'入出金帳'!$G$6:$G$505))</f>
        <v/>
      </c>
      <c r="M12" s="19">
        <f>IF(OR(A12="",H12="",E12="見積中",E12="失注"),"",H12-L12)</f>
        <v/>
      </c>
      <c r="N12" s="25" t="n"/>
    </row>
    <row r="13">
      <c r="A13" s="25" t="n"/>
      <c r="B13" s="25" t="n"/>
      <c r="C13" s="25" t="n"/>
      <c r="D13" s="25" t="n"/>
      <c r="E13" s="25" t="n"/>
      <c r="F13" s="29" t="n"/>
      <c r="G13" s="19">
        <f>IF(F13="","",ROUND(F13*'設定'!$C$11,0))</f>
        <v/>
      </c>
      <c r="H13" s="19">
        <f>IF(F13="","",F13+G13)</f>
        <v/>
      </c>
      <c r="I13" s="19">
        <f>IF(A13="","",SUMPRODUCT(('予算管理'!$A$6:$A$205=A13)*1,'予算管理'!$E$6:$E$205))</f>
        <v/>
      </c>
      <c r="J13" s="19">
        <f>IF(OR(A13="",F13="",E13="見積中",E13="失注"),"",F13-I13)</f>
        <v/>
      </c>
      <c r="K13" s="24">
        <f>IF(OR(J13="",N(F13)=0),"",J13/F13)</f>
        <v/>
      </c>
      <c r="L13" s="19">
        <f>IF(A13="","",SUMPRODUCT(('入出金帳'!$B$6:$B$505=A13)*1,'入出金帳'!$G$6:$G$505))</f>
        <v/>
      </c>
      <c r="M13" s="19">
        <f>IF(OR(A13="",H13="",E13="見積中",E13="失注"),"",H13-L13)</f>
        <v/>
      </c>
      <c r="N13" s="25" t="n"/>
    </row>
    <row r="14">
      <c r="A14" s="25" t="n"/>
      <c r="B14" s="25" t="n"/>
      <c r="C14" s="25" t="n"/>
      <c r="D14" s="25" t="n"/>
      <c r="E14" s="25" t="n"/>
      <c r="F14" s="29" t="n"/>
      <c r="G14" s="19">
        <f>IF(F14="","",ROUND(F14*'設定'!$C$11,0))</f>
        <v/>
      </c>
      <c r="H14" s="19">
        <f>IF(F14="","",F14+G14)</f>
        <v/>
      </c>
      <c r="I14" s="19">
        <f>IF(A14="","",SUMPRODUCT(('予算管理'!$A$6:$A$205=A14)*1,'予算管理'!$E$6:$E$205))</f>
        <v/>
      </c>
      <c r="J14" s="19">
        <f>IF(OR(A14="",F14="",E14="見積中",E14="失注"),"",F14-I14)</f>
        <v/>
      </c>
      <c r="K14" s="24">
        <f>IF(OR(J14="",N(F14)=0),"",J14/F14)</f>
        <v/>
      </c>
      <c r="L14" s="19">
        <f>IF(A14="","",SUMPRODUCT(('入出金帳'!$B$6:$B$505=A14)*1,'入出金帳'!$G$6:$G$505))</f>
        <v/>
      </c>
      <c r="M14" s="19">
        <f>IF(OR(A14="",H14="",E14="見積中",E14="失注"),"",H14-L14)</f>
        <v/>
      </c>
      <c r="N14" s="25" t="n"/>
    </row>
    <row r="15">
      <c r="A15" s="25" t="n"/>
      <c r="B15" s="25" t="n"/>
      <c r="C15" s="25" t="n"/>
      <c r="D15" s="25" t="n"/>
      <c r="E15" s="25" t="n"/>
      <c r="F15" s="29" t="n"/>
      <c r="G15" s="19">
        <f>IF(F15="","",ROUND(F15*'設定'!$C$11,0))</f>
        <v/>
      </c>
      <c r="H15" s="19">
        <f>IF(F15="","",F15+G15)</f>
        <v/>
      </c>
      <c r="I15" s="19">
        <f>IF(A15="","",SUMPRODUCT(('予算管理'!$A$6:$A$205=A15)*1,'予算管理'!$E$6:$E$205))</f>
        <v/>
      </c>
      <c r="J15" s="19">
        <f>IF(OR(A15="",F15="",E15="見積中",E15="失注"),"",F15-I15)</f>
        <v/>
      </c>
      <c r="K15" s="24">
        <f>IF(OR(J15="",N(F15)=0),"",J15/F15)</f>
        <v/>
      </c>
      <c r="L15" s="19">
        <f>IF(A15="","",SUMPRODUCT(('入出金帳'!$B$6:$B$505=A15)*1,'入出金帳'!$G$6:$G$505))</f>
        <v/>
      </c>
      <c r="M15" s="19">
        <f>IF(OR(A15="",H15="",E15="見積中",E15="失注"),"",H15-L15)</f>
        <v/>
      </c>
      <c r="N15" s="25" t="n"/>
    </row>
    <row r="16">
      <c r="A16" s="25" t="n"/>
      <c r="B16" s="25" t="n"/>
      <c r="C16" s="25" t="n"/>
      <c r="D16" s="25" t="n"/>
      <c r="E16" s="25" t="n"/>
      <c r="F16" s="29" t="n"/>
      <c r="G16" s="19">
        <f>IF(F16="","",ROUND(F16*'設定'!$C$11,0))</f>
        <v/>
      </c>
      <c r="H16" s="19">
        <f>IF(F16="","",F16+G16)</f>
        <v/>
      </c>
      <c r="I16" s="19">
        <f>IF(A16="","",SUMPRODUCT(('予算管理'!$A$6:$A$205=A16)*1,'予算管理'!$E$6:$E$205))</f>
        <v/>
      </c>
      <c r="J16" s="19">
        <f>IF(OR(A16="",F16="",E16="見積中",E16="失注"),"",F16-I16)</f>
        <v/>
      </c>
      <c r="K16" s="24">
        <f>IF(OR(J16="",N(F16)=0),"",J16/F16)</f>
        <v/>
      </c>
      <c r="L16" s="19">
        <f>IF(A16="","",SUMPRODUCT(('入出金帳'!$B$6:$B$505=A16)*1,'入出金帳'!$G$6:$G$505))</f>
        <v/>
      </c>
      <c r="M16" s="19">
        <f>IF(OR(A16="",H16="",E16="見積中",E16="失注"),"",H16-L16)</f>
        <v/>
      </c>
      <c r="N16" s="25" t="n"/>
    </row>
    <row r="17">
      <c r="A17" s="25" t="n"/>
      <c r="B17" s="25" t="n"/>
      <c r="C17" s="25" t="n"/>
      <c r="D17" s="25" t="n"/>
      <c r="E17" s="25" t="n"/>
      <c r="F17" s="29" t="n"/>
      <c r="G17" s="19">
        <f>IF(F17="","",ROUND(F17*'設定'!$C$11,0))</f>
        <v/>
      </c>
      <c r="H17" s="19">
        <f>IF(F17="","",F17+G17)</f>
        <v/>
      </c>
      <c r="I17" s="19">
        <f>IF(A17="","",SUMPRODUCT(('予算管理'!$A$6:$A$205=A17)*1,'予算管理'!$E$6:$E$205))</f>
        <v/>
      </c>
      <c r="J17" s="19">
        <f>IF(OR(A17="",F17="",E17="見積中",E17="失注"),"",F17-I17)</f>
        <v/>
      </c>
      <c r="K17" s="24">
        <f>IF(OR(J17="",N(F17)=0),"",J17/F17)</f>
        <v/>
      </c>
      <c r="L17" s="19">
        <f>IF(A17="","",SUMPRODUCT(('入出金帳'!$B$6:$B$505=A17)*1,'入出金帳'!$G$6:$G$505))</f>
        <v/>
      </c>
      <c r="M17" s="19">
        <f>IF(OR(A17="",H17="",E17="見積中",E17="失注"),"",H17-L17)</f>
        <v/>
      </c>
      <c r="N17" s="25" t="n"/>
    </row>
    <row r="18">
      <c r="A18" s="25" t="n"/>
      <c r="B18" s="25" t="n"/>
      <c r="C18" s="25" t="n"/>
      <c r="D18" s="25" t="n"/>
      <c r="E18" s="25" t="n"/>
      <c r="F18" s="29" t="n"/>
      <c r="G18" s="19">
        <f>IF(F18="","",ROUND(F18*'設定'!$C$11,0))</f>
        <v/>
      </c>
      <c r="H18" s="19">
        <f>IF(F18="","",F18+G18)</f>
        <v/>
      </c>
      <c r="I18" s="19">
        <f>IF(A18="","",SUMPRODUCT(('予算管理'!$A$6:$A$205=A18)*1,'予算管理'!$E$6:$E$205))</f>
        <v/>
      </c>
      <c r="J18" s="19">
        <f>IF(OR(A18="",F18="",E18="見積中",E18="失注"),"",F18-I18)</f>
        <v/>
      </c>
      <c r="K18" s="24">
        <f>IF(OR(J18="",N(F18)=0),"",J18/F18)</f>
        <v/>
      </c>
      <c r="L18" s="19">
        <f>IF(A18="","",SUMPRODUCT(('入出金帳'!$B$6:$B$505=A18)*1,'入出金帳'!$G$6:$G$505))</f>
        <v/>
      </c>
      <c r="M18" s="19">
        <f>IF(OR(A18="",H18="",E18="見積中",E18="失注"),"",H18-L18)</f>
        <v/>
      </c>
      <c r="N18" s="25" t="n"/>
    </row>
    <row r="19">
      <c r="A19" s="25" t="n"/>
      <c r="B19" s="25" t="n"/>
      <c r="C19" s="25" t="n"/>
      <c r="D19" s="25" t="n"/>
      <c r="E19" s="25" t="n"/>
      <c r="F19" s="29" t="n"/>
      <c r="G19" s="19">
        <f>IF(F19="","",ROUND(F19*'設定'!$C$11,0))</f>
        <v/>
      </c>
      <c r="H19" s="19">
        <f>IF(F19="","",F19+G19)</f>
        <v/>
      </c>
      <c r="I19" s="19">
        <f>IF(A19="","",SUMPRODUCT(('予算管理'!$A$6:$A$205=A19)*1,'予算管理'!$E$6:$E$205))</f>
        <v/>
      </c>
      <c r="J19" s="19">
        <f>IF(OR(A19="",F19="",E19="見積中",E19="失注"),"",F19-I19)</f>
        <v/>
      </c>
      <c r="K19" s="24">
        <f>IF(OR(J19="",N(F19)=0),"",J19/F19)</f>
        <v/>
      </c>
      <c r="L19" s="19">
        <f>IF(A19="","",SUMPRODUCT(('入出金帳'!$B$6:$B$505=A19)*1,'入出金帳'!$G$6:$G$505))</f>
        <v/>
      </c>
      <c r="M19" s="19">
        <f>IF(OR(A19="",H19="",E19="見積中",E19="失注"),"",H19-L19)</f>
        <v/>
      </c>
      <c r="N19" s="25" t="n"/>
    </row>
    <row r="20">
      <c r="A20" s="25" t="n"/>
      <c r="B20" s="25" t="n"/>
      <c r="C20" s="25" t="n"/>
      <c r="D20" s="25" t="n"/>
      <c r="E20" s="25" t="n"/>
      <c r="F20" s="29" t="n"/>
      <c r="G20" s="19">
        <f>IF(F20="","",ROUND(F20*'設定'!$C$11,0))</f>
        <v/>
      </c>
      <c r="H20" s="19">
        <f>IF(F20="","",F20+G20)</f>
        <v/>
      </c>
      <c r="I20" s="19">
        <f>IF(A20="","",SUMPRODUCT(('予算管理'!$A$6:$A$205=A20)*1,'予算管理'!$E$6:$E$205))</f>
        <v/>
      </c>
      <c r="J20" s="19">
        <f>IF(OR(A20="",F20="",E20="見積中",E20="失注"),"",F20-I20)</f>
        <v/>
      </c>
      <c r="K20" s="24">
        <f>IF(OR(J20="",N(F20)=0),"",J20/F20)</f>
        <v/>
      </c>
      <c r="L20" s="19">
        <f>IF(A20="","",SUMPRODUCT(('入出金帳'!$B$6:$B$505=A20)*1,'入出金帳'!$G$6:$G$505))</f>
        <v/>
      </c>
      <c r="M20" s="19">
        <f>IF(OR(A20="",H20="",E20="見積中",E20="失注"),"",H20-L20)</f>
        <v/>
      </c>
      <c r="N20" s="25" t="n"/>
    </row>
    <row r="21">
      <c r="A21" s="25" t="n"/>
      <c r="B21" s="25" t="n"/>
      <c r="C21" s="25" t="n"/>
      <c r="D21" s="25" t="n"/>
      <c r="E21" s="25" t="n"/>
      <c r="F21" s="29" t="n"/>
      <c r="G21" s="19">
        <f>IF(F21="","",ROUND(F21*'設定'!$C$11,0))</f>
        <v/>
      </c>
      <c r="H21" s="19">
        <f>IF(F21="","",F21+G21)</f>
        <v/>
      </c>
      <c r="I21" s="19">
        <f>IF(A21="","",SUMPRODUCT(('予算管理'!$A$6:$A$205=A21)*1,'予算管理'!$E$6:$E$205))</f>
        <v/>
      </c>
      <c r="J21" s="19">
        <f>IF(OR(A21="",F21="",E21="見積中",E21="失注"),"",F21-I21)</f>
        <v/>
      </c>
      <c r="K21" s="24">
        <f>IF(OR(J21="",N(F21)=0),"",J21/F21)</f>
        <v/>
      </c>
      <c r="L21" s="19">
        <f>IF(A21="","",SUMPRODUCT(('入出金帳'!$B$6:$B$505=A21)*1,'入出金帳'!$G$6:$G$505))</f>
        <v/>
      </c>
      <c r="M21" s="19">
        <f>IF(OR(A21="",H21="",E21="見積中",E21="失注"),"",H21-L21)</f>
        <v/>
      </c>
      <c r="N21" s="25" t="n"/>
    </row>
    <row r="22">
      <c r="A22" s="25" t="n"/>
      <c r="B22" s="25" t="n"/>
      <c r="C22" s="25" t="n"/>
      <c r="D22" s="25" t="n"/>
      <c r="E22" s="25" t="n"/>
      <c r="F22" s="29" t="n"/>
      <c r="G22" s="19">
        <f>IF(F22="","",ROUND(F22*'設定'!$C$11,0))</f>
        <v/>
      </c>
      <c r="H22" s="19">
        <f>IF(F22="","",F22+G22)</f>
        <v/>
      </c>
      <c r="I22" s="19">
        <f>IF(A22="","",SUMPRODUCT(('予算管理'!$A$6:$A$205=A22)*1,'予算管理'!$E$6:$E$205))</f>
        <v/>
      </c>
      <c r="J22" s="19">
        <f>IF(OR(A22="",F22="",E22="見積中",E22="失注"),"",F22-I22)</f>
        <v/>
      </c>
      <c r="K22" s="24">
        <f>IF(OR(J22="",N(F22)=0),"",J22/F22)</f>
        <v/>
      </c>
      <c r="L22" s="19">
        <f>IF(A22="","",SUMPRODUCT(('入出金帳'!$B$6:$B$505=A22)*1,'入出金帳'!$G$6:$G$505))</f>
        <v/>
      </c>
      <c r="M22" s="19">
        <f>IF(OR(A22="",H22="",E22="見積中",E22="失注"),"",H22-L22)</f>
        <v/>
      </c>
      <c r="N22" s="25" t="n"/>
    </row>
    <row r="23">
      <c r="A23" s="25" t="n"/>
      <c r="B23" s="25" t="n"/>
      <c r="C23" s="25" t="n"/>
      <c r="D23" s="25" t="n"/>
      <c r="E23" s="25" t="n"/>
      <c r="F23" s="29" t="n"/>
      <c r="G23" s="19">
        <f>IF(F23="","",ROUND(F23*'設定'!$C$11,0))</f>
        <v/>
      </c>
      <c r="H23" s="19">
        <f>IF(F23="","",F23+G23)</f>
        <v/>
      </c>
      <c r="I23" s="19">
        <f>IF(A23="","",SUMPRODUCT(('予算管理'!$A$6:$A$205=A23)*1,'予算管理'!$E$6:$E$205))</f>
        <v/>
      </c>
      <c r="J23" s="19">
        <f>IF(OR(A23="",F23="",E23="見積中",E23="失注"),"",F23-I23)</f>
        <v/>
      </c>
      <c r="K23" s="24">
        <f>IF(OR(J23="",N(F23)=0),"",J23/F23)</f>
        <v/>
      </c>
      <c r="L23" s="19">
        <f>IF(A23="","",SUMPRODUCT(('入出金帳'!$B$6:$B$505=A23)*1,'入出金帳'!$G$6:$G$505))</f>
        <v/>
      </c>
      <c r="M23" s="19">
        <f>IF(OR(A23="",H23="",E23="見積中",E23="失注"),"",H23-L23)</f>
        <v/>
      </c>
      <c r="N23" s="25" t="n"/>
    </row>
    <row r="24">
      <c r="A24" s="25" t="n"/>
      <c r="B24" s="25" t="n"/>
      <c r="C24" s="25" t="n"/>
      <c r="D24" s="25" t="n"/>
      <c r="E24" s="25" t="n"/>
      <c r="F24" s="29" t="n"/>
      <c r="G24" s="19">
        <f>IF(F24="","",ROUND(F24*'設定'!$C$11,0))</f>
        <v/>
      </c>
      <c r="H24" s="19">
        <f>IF(F24="","",F24+G24)</f>
        <v/>
      </c>
      <c r="I24" s="19">
        <f>IF(A24="","",SUMPRODUCT(('予算管理'!$A$6:$A$205=A24)*1,'予算管理'!$E$6:$E$205))</f>
        <v/>
      </c>
      <c r="J24" s="19">
        <f>IF(OR(A24="",F24="",E24="見積中",E24="失注"),"",F24-I24)</f>
        <v/>
      </c>
      <c r="K24" s="24">
        <f>IF(OR(J24="",N(F24)=0),"",J24/F24)</f>
        <v/>
      </c>
      <c r="L24" s="19">
        <f>IF(A24="","",SUMPRODUCT(('入出金帳'!$B$6:$B$505=A24)*1,'入出金帳'!$G$6:$G$505))</f>
        <v/>
      </c>
      <c r="M24" s="19">
        <f>IF(OR(A24="",H24="",E24="見積中",E24="失注"),"",H24-L24)</f>
        <v/>
      </c>
      <c r="N24" s="25" t="n"/>
    </row>
    <row r="25">
      <c r="A25" s="25" t="n"/>
      <c r="B25" s="25" t="n"/>
      <c r="C25" s="25" t="n"/>
      <c r="D25" s="25" t="n"/>
      <c r="E25" s="25" t="n"/>
      <c r="F25" s="29" t="n"/>
      <c r="G25" s="19">
        <f>IF(F25="","",ROUND(F25*'設定'!$C$11,0))</f>
        <v/>
      </c>
      <c r="H25" s="19">
        <f>IF(F25="","",F25+G25)</f>
        <v/>
      </c>
      <c r="I25" s="19">
        <f>IF(A25="","",SUMPRODUCT(('予算管理'!$A$6:$A$205=A25)*1,'予算管理'!$E$6:$E$205))</f>
        <v/>
      </c>
      <c r="J25" s="19">
        <f>IF(OR(A25="",F25="",E25="見積中",E25="失注"),"",F25-I25)</f>
        <v/>
      </c>
      <c r="K25" s="24">
        <f>IF(OR(J25="",N(F25)=0),"",J25/F25)</f>
        <v/>
      </c>
      <c r="L25" s="19">
        <f>IF(A25="","",SUMPRODUCT(('入出金帳'!$B$6:$B$505=A25)*1,'入出金帳'!$G$6:$G$505))</f>
        <v/>
      </c>
      <c r="M25" s="19">
        <f>IF(OR(A25="",H25="",E25="見積中",E25="失注"),"",H25-L25)</f>
        <v/>
      </c>
      <c r="N25" s="25" t="n"/>
    </row>
    <row r="26">
      <c r="A26" s="25" t="n"/>
      <c r="B26" s="25" t="n"/>
      <c r="C26" s="25" t="n"/>
      <c r="D26" s="25" t="n"/>
      <c r="E26" s="25" t="n"/>
      <c r="F26" s="29" t="n"/>
      <c r="G26" s="19">
        <f>IF(F26="","",ROUND(F26*'設定'!$C$11,0))</f>
        <v/>
      </c>
      <c r="H26" s="19">
        <f>IF(F26="","",F26+G26)</f>
        <v/>
      </c>
      <c r="I26" s="19">
        <f>IF(A26="","",SUMPRODUCT(('予算管理'!$A$6:$A$205=A26)*1,'予算管理'!$E$6:$E$205))</f>
        <v/>
      </c>
      <c r="J26" s="19">
        <f>IF(OR(A26="",F26="",E26="見積中",E26="失注"),"",F26-I26)</f>
        <v/>
      </c>
      <c r="K26" s="24">
        <f>IF(OR(J26="",N(F26)=0),"",J26/F26)</f>
        <v/>
      </c>
      <c r="L26" s="19">
        <f>IF(A26="","",SUMPRODUCT(('入出金帳'!$B$6:$B$505=A26)*1,'入出金帳'!$G$6:$G$505))</f>
        <v/>
      </c>
      <c r="M26" s="19">
        <f>IF(OR(A26="",H26="",E26="見積中",E26="失注"),"",H26-L26)</f>
        <v/>
      </c>
      <c r="N26" s="25" t="n"/>
    </row>
    <row r="27">
      <c r="A27" s="25" t="n"/>
      <c r="B27" s="25" t="n"/>
      <c r="C27" s="25" t="n"/>
      <c r="D27" s="25" t="n"/>
      <c r="E27" s="25" t="n"/>
      <c r="F27" s="29" t="n"/>
      <c r="G27" s="19">
        <f>IF(F27="","",ROUND(F27*'設定'!$C$11,0))</f>
        <v/>
      </c>
      <c r="H27" s="19">
        <f>IF(F27="","",F27+G27)</f>
        <v/>
      </c>
      <c r="I27" s="19">
        <f>IF(A27="","",SUMPRODUCT(('予算管理'!$A$6:$A$205=A27)*1,'予算管理'!$E$6:$E$205))</f>
        <v/>
      </c>
      <c r="J27" s="19">
        <f>IF(OR(A27="",F27="",E27="見積中",E27="失注"),"",F27-I27)</f>
        <v/>
      </c>
      <c r="K27" s="24">
        <f>IF(OR(J27="",N(F27)=0),"",J27/F27)</f>
        <v/>
      </c>
      <c r="L27" s="19">
        <f>IF(A27="","",SUMPRODUCT(('入出金帳'!$B$6:$B$505=A27)*1,'入出金帳'!$G$6:$G$505))</f>
        <v/>
      </c>
      <c r="M27" s="19">
        <f>IF(OR(A27="",H27="",E27="見積中",E27="失注"),"",H27-L27)</f>
        <v/>
      </c>
      <c r="N27" s="25" t="n"/>
    </row>
    <row r="28">
      <c r="A28" s="25" t="n"/>
      <c r="B28" s="25" t="n"/>
      <c r="C28" s="25" t="n"/>
      <c r="D28" s="25" t="n"/>
      <c r="E28" s="25" t="n"/>
      <c r="F28" s="29" t="n"/>
      <c r="G28" s="19">
        <f>IF(F28="","",ROUND(F28*'設定'!$C$11,0))</f>
        <v/>
      </c>
      <c r="H28" s="19">
        <f>IF(F28="","",F28+G28)</f>
        <v/>
      </c>
      <c r="I28" s="19">
        <f>IF(A28="","",SUMPRODUCT(('予算管理'!$A$6:$A$205=A28)*1,'予算管理'!$E$6:$E$205))</f>
        <v/>
      </c>
      <c r="J28" s="19">
        <f>IF(OR(A28="",F28="",E28="見積中",E28="失注"),"",F28-I28)</f>
        <v/>
      </c>
      <c r="K28" s="24">
        <f>IF(OR(J28="",N(F28)=0),"",J28/F28)</f>
        <v/>
      </c>
      <c r="L28" s="19">
        <f>IF(A28="","",SUMPRODUCT(('入出金帳'!$B$6:$B$505=A28)*1,'入出金帳'!$G$6:$G$505))</f>
        <v/>
      </c>
      <c r="M28" s="19">
        <f>IF(OR(A28="",H28="",E28="見積中",E28="失注"),"",H28-L28)</f>
        <v/>
      </c>
      <c r="N28" s="25" t="n"/>
    </row>
    <row r="29">
      <c r="A29" s="25" t="n"/>
      <c r="B29" s="25" t="n"/>
      <c r="C29" s="25" t="n"/>
      <c r="D29" s="25" t="n"/>
      <c r="E29" s="25" t="n"/>
      <c r="F29" s="29" t="n"/>
      <c r="G29" s="19">
        <f>IF(F29="","",ROUND(F29*'設定'!$C$11,0))</f>
        <v/>
      </c>
      <c r="H29" s="19">
        <f>IF(F29="","",F29+G29)</f>
        <v/>
      </c>
      <c r="I29" s="19">
        <f>IF(A29="","",SUMPRODUCT(('予算管理'!$A$6:$A$205=A29)*1,'予算管理'!$E$6:$E$205))</f>
        <v/>
      </c>
      <c r="J29" s="19">
        <f>IF(OR(A29="",F29="",E29="見積中",E29="失注"),"",F29-I29)</f>
        <v/>
      </c>
      <c r="K29" s="24">
        <f>IF(OR(J29="",N(F29)=0),"",J29/F29)</f>
        <v/>
      </c>
      <c r="L29" s="19">
        <f>IF(A29="","",SUMPRODUCT(('入出金帳'!$B$6:$B$505=A29)*1,'入出金帳'!$G$6:$G$505))</f>
        <v/>
      </c>
      <c r="M29" s="19">
        <f>IF(OR(A29="",H29="",E29="見積中",E29="失注"),"",H29-L29)</f>
        <v/>
      </c>
      <c r="N29" s="25" t="n"/>
    </row>
    <row r="30">
      <c r="A30" s="25" t="n"/>
      <c r="B30" s="25" t="n"/>
      <c r="C30" s="25" t="n"/>
      <c r="D30" s="25" t="n"/>
      <c r="E30" s="25" t="n"/>
      <c r="F30" s="29" t="n"/>
      <c r="G30" s="19">
        <f>IF(F30="","",ROUND(F30*'設定'!$C$11,0))</f>
        <v/>
      </c>
      <c r="H30" s="19">
        <f>IF(F30="","",F30+G30)</f>
        <v/>
      </c>
      <c r="I30" s="19">
        <f>IF(A30="","",SUMPRODUCT(('予算管理'!$A$6:$A$205=A30)*1,'予算管理'!$E$6:$E$205))</f>
        <v/>
      </c>
      <c r="J30" s="19">
        <f>IF(OR(A30="",F30="",E30="見積中",E30="失注"),"",F30-I30)</f>
        <v/>
      </c>
      <c r="K30" s="24">
        <f>IF(OR(J30="",N(F30)=0),"",J30/F30)</f>
        <v/>
      </c>
      <c r="L30" s="19">
        <f>IF(A30="","",SUMPRODUCT(('入出金帳'!$B$6:$B$505=A30)*1,'入出金帳'!$G$6:$G$505))</f>
        <v/>
      </c>
      <c r="M30" s="19">
        <f>IF(OR(A30="",H30="",E30="見積中",E30="失注"),"",H30-L30)</f>
        <v/>
      </c>
      <c r="N30" s="25" t="n"/>
    </row>
    <row r="31">
      <c r="A31" s="25" t="n"/>
      <c r="B31" s="25" t="n"/>
      <c r="C31" s="25" t="n"/>
      <c r="D31" s="25" t="n"/>
      <c r="E31" s="25" t="n"/>
      <c r="F31" s="29" t="n"/>
      <c r="G31" s="19">
        <f>IF(F31="","",ROUND(F31*'設定'!$C$11,0))</f>
        <v/>
      </c>
      <c r="H31" s="19">
        <f>IF(F31="","",F31+G31)</f>
        <v/>
      </c>
      <c r="I31" s="19">
        <f>IF(A31="","",SUMPRODUCT(('予算管理'!$A$6:$A$205=A31)*1,'予算管理'!$E$6:$E$205))</f>
        <v/>
      </c>
      <c r="J31" s="19">
        <f>IF(OR(A31="",F31="",E31="見積中",E31="失注"),"",F31-I31)</f>
        <v/>
      </c>
      <c r="K31" s="24">
        <f>IF(OR(J31="",N(F31)=0),"",J31/F31)</f>
        <v/>
      </c>
      <c r="L31" s="19">
        <f>IF(A31="","",SUMPRODUCT(('入出金帳'!$B$6:$B$505=A31)*1,'入出金帳'!$G$6:$G$505))</f>
        <v/>
      </c>
      <c r="M31" s="19">
        <f>IF(OR(A31="",H31="",E31="見積中",E31="失注"),"",H31-L31)</f>
        <v/>
      </c>
      <c r="N31" s="25" t="n"/>
    </row>
    <row r="32">
      <c r="A32" s="25" t="n"/>
      <c r="B32" s="25" t="n"/>
      <c r="C32" s="25" t="n"/>
      <c r="D32" s="25" t="n"/>
      <c r="E32" s="25" t="n"/>
      <c r="F32" s="29" t="n"/>
      <c r="G32" s="19">
        <f>IF(F32="","",ROUND(F32*'設定'!$C$11,0))</f>
        <v/>
      </c>
      <c r="H32" s="19">
        <f>IF(F32="","",F32+G32)</f>
        <v/>
      </c>
      <c r="I32" s="19">
        <f>IF(A32="","",SUMPRODUCT(('予算管理'!$A$6:$A$205=A32)*1,'予算管理'!$E$6:$E$205))</f>
        <v/>
      </c>
      <c r="J32" s="19">
        <f>IF(OR(A32="",F32="",E32="見積中",E32="失注"),"",F32-I32)</f>
        <v/>
      </c>
      <c r="K32" s="24">
        <f>IF(OR(J32="",N(F32)=0),"",J32/F32)</f>
        <v/>
      </c>
      <c r="L32" s="19">
        <f>IF(A32="","",SUMPRODUCT(('入出金帳'!$B$6:$B$505=A32)*1,'入出金帳'!$G$6:$G$505))</f>
        <v/>
      </c>
      <c r="M32" s="19">
        <f>IF(OR(A32="",H32="",E32="見積中",E32="失注"),"",H32-L32)</f>
        <v/>
      </c>
      <c r="N32" s="25" t="n"/>
    </row>
    <row r="33">
      <c r="A33" s="25" t="n"/>
      <c r="B33" s="25" t="n"/>
      <c r="C33" s="25" t="n"/>
      <c r="D33" s="25" t="n"/>
      <c r="E33" s="25" t="n"/>
      <c r="F33" s="29" t="n"/>
      <c r="G33" s="19">
        <f>IF(F33="","",ROUND(F33*'設定'!$C$11,0))</f>
        <v/>
      </c>
      <c r="H33" s="19">
        <f>IF(F33="","",F33+G33)</f>
        <v/>
      </c>
      <c r="I33" s="19">
        <f>IF(A33="","",SUMPRODUCT(('予算管理'!$A$6:$A$205=A33)*1,'予算管理'!$E$6:$E$205))</f>
        <v/>
      </c>
      <c r="J33" s="19">
        <f>IF(OR(A33="",F33="",E33="見積中",E33="失注"),"",F33-I33)</f>
        <v/>
      </c>
      <c r="K33" s="24">
        <f>IF(OR(J33="",N(F33)=0),"",J33/F33)</f>
        <v/>
      </c>
      <c r="L33" s="19">
        <f>IF(A33="","",SUMPRODUCT(('入出金帳'!$B$6:$B$505=A33)*1,'入出金帳'!$G$6:$G$505))</f>
        <v/>
      </c>
      <c r="M33" s="19">
        <f>IF(OR(A33="",H33="",E33="見積中",E33="失注"),"",H33-L33)</f>
        <v/>
      </c>
      <c r="N33" s="25" t="n"/>
    </row>
    <row r="34">
      <c r="A34" s="25" t="n"/>
      <c r="B34" s="25" t="n"/>
      <c r="C34" s="25" t="n"/>
      <c r="D34" s="25" t="n"/>
      <c r="E34" s="25" t="n"/>
      <c r="F34" s="29" t="n"/>
      <c r="G34" s="19">
        <f>IF(F34="","",ROUND(F34*'設定'!$C$11,0))</f>
        <v/>
      </c>
      <c r="H34" s="19">
        <f>IF(F34="","",F34+G34)</f>
        <v/>
      </c>
      <c r="I34" s="19">
        <f>IF(A34="","",SUMPRODUCT(('予算管理'!$A$6:$A$205=A34)*1,'予算管理'!$E$6:$E$205))</f>
        <v/>
      </c>
      <c r="J34" s="19">
        <f>IF(OR(A34="",F34="",E34="見積中",E34="失注"),"",F34-I34)</f>
        <v/>
      </c>
      <c r="K34" s="24">
        <f>IF(OR(J34="",N(F34)=0),"",J34/F34)</f>
        <v/>
      </c>
      <c r="L34" s="19">
        <f>IF(A34="","",SUMPRODUCT(('入出金帳'!$B$6:$B$505=A34)*1,'入出金帳'!$G$6:$G$505))</f>
        <v/>
      </c>
      <c r="M34" s="19">
        <f>IF(OR(A34="",H34="",E34="見積中",E34="失注"),"",H34-L34)</f>
        <v/>
      </c>
      <c r="N34" s="25" t="n"/>
    </row>
    <row r="35">
      <c r="A35" s="25" t="n"/>
      <c r="B35" s="25" t="n"/>
      <c r="C35" s="25" t="n"/>
      <c r="D35" s="25" t="n"/>
      <c r="E35" s="25" t="n"/>
      <c r="F35" s="29" t="n"/>
      <c r="G35" s="19">
        <f>IF(F35="","",ROUND(F35*'設定'!$C$11,0))</f>
        <v/>
      </c>
      <c r="H35" s="19">
        <f>IF(F35="","",F35+G35)</f>
        <v/>
      </c>
      <c r="I35" s="19">
        <f>IF(A35="","",SUMPRODUCT(('予算管理'!$A$6:$A$205=A35)*1,'予算管理'!$E$6:$E$205))</f>
        <v/>
      </c>
      <c r="J35" s="19">
        <f>IF(OR(A35="",F35="",E35="見積中",E35="失注"),"",F35-I35)</f>
        <v/>
      </c>
      <c r="K35" s="24">
        <f>IF(OR(J35="",N(F35)=0),"",J35/F35)</f>
        <v/>
      </c>
      <c r="L35" s="19">
        <f>IF(A35="","",SUMPRODUCT(('入出金帳'!$B$6:$B$505=A35)*1,'入出金帳'!$G$6:$G$505))</f>
        <v/>
      </c>
      <c r="M35" s="19">
        <f>IF(OR(A35="",H35="",E35="見積中",E35="失注"),"",H35-L35)</f>
        <v/>
      </c>
      <c r="N35" s="25" t="n"/>
    </row>
    <row r="36">
      <c r="A36" s="25" t="n"/>
      <c r="B36" s="25" t="n"/>
      <c r="C36" s="25" t="n"/>
      <c r="D36" s="25" t="n"/>
      <c r="E36" s="25" t="n"/>
      <c r="F36" s="29" t="n"/>
      <c r="G36" s="19">
        <f>IF(F36="","",ROUND(F36*'設定'!$C$11,0))</f>
        <v/>
      </c>
      <c r="H36" s="19">
        <f>IF(F36="","",F36+G36)</f>
        <v/>
      </c>
      <c r="I36" s="19">
        <f>IF(A36="","",SUMPRODUCT(('予算管理'!$A$6:$A$205=A36)*1,'予算管理'!$E$6:$E$205))</f>
        <v/>
      </c>
      <c r="J36" s="19">
        <f>IF(OR(A36="",F36="",E36="見積中",E36="失注"),"",F36-I36)</f>
        <v/>
      </c>
      <c r="K36" s="24">
        <f>IF(OR(J36="",N(F36)=0),"",J36/F36)</f>
        <v/>
      </c>
      <c r="L36" s="19">
        <f>IF(A36="","",SUMPRODUCT(('入出金帳'!$B$6:$B$505=A36)*1,'入出金帳'!$G$6:$G$505))</f>
        <v/>
      </c>
      <c r="M36" s="19">
        <f>IF(OR(A36="",H36="",E36="見積中",E36="失注"),"",H36-L36)</f>
        <v/>
      </c>
      <c r="N36" s="25" t="n"/>
    </row>
    <row r="37">
      <c r="A37" s="25" t="n"/>
      <c r="B37" s="25" t="n"/>
      <c r="C37" s="25" t="n"/>
      <c r="D37" s="25" t="n"/>
      <c r="E37" s="25" t="n"/>
      <c r="F37" s="29" t="n"/>
      <c r="G37" s="19">
        <f>IF(F37="","",ROUND(F37*'設定'!$C$11,0))</f>
        <v/>
      </c>
      <c r="H37" s="19">
        <f>IF(F37="","",F37+G37)</f>
        <v/>
      </c>
      <c r="I37" s="19">
        <f>IF(A37="","",SUMPRODUCT(('予算管理'!$A$6:$A$205=A37)*1,'予算管理'!$E$6:$E$205))</f>
        <v/>
      </c>
      <c r="J37" s="19">
        <f>IF(OR(A37="",F37="",E37="見積中",E37="失注"),"",F37-I37)</f>
        <v/>
      </c>
      <c r="K37" s="24">
        <f>IF(OR(J37="",N(F37)=0),"",J37/F37)</f>
        <v/>
      </c>
      <c r="L37" s="19">
        <f>IF(A37="","",SUMPRODUCT(('入出金帳'!$B$6:$B$505=A37)*1,'入出金帳'!$G$6:$G$505))</f>
        <v/>
      </c>
      <c r="M37" s="19">
        <f>IF(OR(A37="",H37="",E37="見積中",E37="失注"),"",H37-L37)</f>
        <v/>
      </c>
      <c r="N37" s="25" t="n"/>
    </row>
    <row r="38">
      <c r="A38" s="25" t="n"/>
      <c r="B38" s="25" t="n"/>
      <c r="C38" s="25" t="n"/>
      <c r="D38" s="25" t="n"/>
      <c r="E38" s="25" t="n"/>
      <c r="F38" s="29" t="n"/>
      <c r="G38" s="19">
        <f>IF(F38="","",ROUND(F38*'設定'!$C$11,0))</f>
        <v/>
      </c>
      <c r="H38" s="19">
        <f>IF(F38="","",F38+G38)</f>
        <v/>
      </c>
      <c r="I38" s="19">
        <f>IF(A38="","",SUMPRODUCT(('予算管理'!$A$6:$A$205=A38)*1,'予算管理'!$E$6:$E$205))</f>
        <v/>
      </c>
      <c r="J38" s="19">
        <f>IF(OR(A38="",F38="",E38="見積中",E38="失注"),"",F38-I38)</f>
        <v/>
      </c>
      <c r="K38" s="24">
        <f>IF(OR(J38="",N(F38)=0),"",J38/F38)</f>
        <v/>
      </c>
      <c r="L38" s="19">
        <f>IF(A38="","",SUMPRODUCT(('入出金帳'!$B$6:$B$505=A38)*1,'入出金帳'!$G$6:$G$505))</f>
        <v/>
      </c>
      <c r="M38" s="19">
        <f>IF(OR(A38="",H38="",E38="見積中",E38="失注"),"",H38-L38)</f>
        <v/>
      </c>
      <c r="N38" s="25" t="n"/>
    </row>
    <row r="39">
      <c r="A39" s="25" t="n"/>
      <c r="B39" s="25" t="n"/>
      <c r="C39" s="25" t="n"/>
      <c r="D39" s="25" t="n"/>
      <c r="E39" s="25" t="n"/>
      <c r="F39" s="29" t="n"/>
      <c r="G39" s="19">
        <f>IF(F39="","",ROUND(F39*'設定'!$C$11,0))</f>
        <v/>
      </c>
      <c r="H39" s="19">
        <f>IF(F39="","",F39+G39)</f>
        <v/>
      </c>
      <c r="I39" s="19">
        <f>IF(A39="","",SUMPRODUCT(('予算管理'!$A$6:$A$205=A39)*1,'予算管理'!$E$6:$E$205))</f>
        <v/>
      </c>
      <c r="J39" s="19">
        <f>IF(OR(A39="",F39="",E39="見積中",E39="失注"),"",F39-I39)</f>
        <v/>
      </c>
      <c r="K39" s="24">
        <f>IF(OR(J39="",N(F39)=0),"",J39/F39)</f>
        <v/>
      </c>
      <c r="L39" s="19">
        <f>IF(A39="","",SUMPRODUCT(('入出金帳'!$B$6:$B$505=A39)*1,'入出金帳'!$G$6:$G$505))</f>
        <v/>
      </c>
      <c r="M39" s="19">
        <f>IF(OR(A39="",H39="",E39="見積中",E39="失注"),"",H39-L39)</f>
        <v/>
      </c>
      <c r="N39" s="25" t="n"/>
    </row>
    <row r="40">
      <c r="A40" s="25" t="n"/>
      <c r="B40" s="25" t="n"/>
      <c r="C40" s="25" t="n"/>
      <c r="D40" s="25" t="n"/>
      <c r="E40" s="25" t="n"/>
      <c r="F40" s="29" t="n"/>
      <c r="G40" s="19">
        <f>IF(F40="","",ROUND(F40*'設定'!$C$11,0))</f>
        <v/>
      </c>
      <c r="H40" s="19">
        <f>IF(F40="","",F40+G40)</f>
        <v/>
      </c>
      <c r="I40" s="19">
        <f>IF(A40="","",SUMPRODUCT(('予算管理'!$A$6:$A$205=A40)*1,'予算管理'!$E$6:$E$205))</f>
        <v/>
      </c>
      <c r="J40" s="19">
        <f>IF(OR(A40="",F40="",E40="見積中",E40="失注"),"",F40-I40)</f>
        <v/>
      </c>
      <c r="K40" s="24">
        <f>IF(OR(J40="",N(F40)=0),"",J40/F40)</f>
        <v/>
      </c>
      <c r="L40" s="19">
        <f>IF(A40="","",SUMPRODUCT(('入出金帳'!$B$6:$B$505=A40)*1,'入出金帳'!$G$6:$G$505))</f>
        <v/>
      </c>
      <c r="M40" s="19">
        <f>IF(OR(A40="",H40="",E40="見積中",E40="失注"),"",H40-L40)</f>
        <v/>
      </c>
      <c r="N40" s="25" t="n"/>
    </row>
    <row r="41">
      <c r="A41" s="25" t="n"/>
      <c r="B41" s="25" t="n"/>
      <c r="C41" s="25" t="n"/>
      <c r="D41" s="25" t="n"/>
      <c r="E41" s="25" t="n"/>
      <c r="F41" s="29" t="n"/>
      <c r="G41" s="19">
        <f>IF(F41="","",ROUND(F41*'設定'!$C$11,0))</f>
        <v/>
      </c>
      <c r="H41" s="19">
        <f>IF(F41="","",F41+G41)</f>
        <v/>
      </c>
      <c r="I41" s="19">
        <f>IF(A41="","",SUMPRODUCT(('予算管理'!$A$6:$A$205=A41)*1,'予算管理'!$E$6:$E$205))</f>
        <v/>
      </c>
      <c r="J41" s="19">
        <f>IF(OR(A41="",F41="",E41="見積中",E41="失注"),"",F41-I41)</f>
        <v/>
      </c>
      <c r="K41" s="24">
        <f>IF(OR(J41="",N(F41)=0),"",J41/F41)</f>
        <v/>
      </c>
      <c r="L41" s="19">
        <f>IF(A41="","",SUMPRODUCT(('入出金帳'!$B$6:$B$505=A41)*1,'入出金帳'!$G$6:$G$505))</f>
        <v/>
      </c>
      <c r="M41" s="19">
        <f>IF(OR(A41="",H41="",E41="見積中",E41="失注"),"",H41-L41)</f>
        <v/>
      </c>
      <c r="N41" s="25" t="n"/>
    </row>
    <row r="42">
      <c r="A42" s="25" t="n"/>
      <c r="B42" s="25" t="n"/>
      <c r="C42" s="25" t="n"/>
      <c r="D42" s="25" t="n"/>
      <c r="E42" s="25" t="n"/>
      <c r="F42" s="29" t="n"/>
      <c r="G42" s="19">
        <f>IF(F42="","",ROUND(F42*'設定'!$C$11,0))</f>
        <v/>
      </c>
      <c r="H42" s="19">
        <f>IF(F42="","",F42+G42)</f>
        <v/>
      </c>
      <c r="I42" s="19">
        <f>IF(A42="","",SUMPRODUCT(('予算管理'!$A$6:$A$205=A42)*1,'予算管理'!$E$6:$E$205))</f>
        <v/>
      </c>
      <c r="J42" s="19">
        <f>IF(OR(A42="",F42="",E42="見積中",E42="失注"),"",F42-I42)</f>
        <v/>
      </c>
      <c r="K42" s="24">
        <f>IF(OR(J42="",N(F42)=0),"",J42/F42)</f>
        <v/>
      </c>
      <c r="L42" s="19">
        <f>IF(A42="","",SUMPRODUCT(('入出金帳'!$B$6:$B$505=A42)*1,'入出金帳'!$G$6:$G$505))</f>
        <v/>
      </c>
      <c r="M42" s="19">
        <f>IF(OR(A42="",H42="",E42="見積中",E42="失注"),"",H42-L42)</f>
        <v/>
      </c>
      <c r="N42" s="25" t="n"/>
    </row>
    <row r="43">
      <c r="A43" s="25" t="n"/>
      <c r="B43" s="25" t="n"/>
      <c r="C43" s="25" t="n"/>
      <c r="D43" s="25" t="n"/>
      <c r="E43" s="25" t="n"/>
      <c r="F43" s="29" t="n"/>
      <c r="G43" s="19">
        <f>IF(F43="","",ROUND(F43*'設定'!$C$11,0))</f>
        <v/>
      </c>
      <c r="H43" s="19">
        <f>IF(F43="","",F43+G43)</f>
        <v/>
      </c>
      <c r="I43" s="19">
        <f>IF(A43="","",SUMPRODUCT(('予算管理'!$A$6:$A$205=A43)*1,'予算管理'!$E$6:$E$205))</f>
        <v/>
      </c>
      <c r="J43" s="19">
        <f>IF(OR(A43="",F43="",E43="見積中",E43="失注"),"",F43-I43)</f>
        <v/>
      </c>
      <c r="K43" s="24">
        <f>IF(OR(J43="",N(F43)=0),"",J43/F43)</f>
        <v/>
      </c>
      <c r="L43" s="19">
        <f>IF(A43="","",SUMPRODUCT(('入出金帳'!$B$6:$B$505=A43)*1,'入出金帳'!$G$6:$G$505))</f>
        <v/>
      </c>
      <c r="M43" s="19">
        <f>IF(OR(A43="",H43="",E43="見積中",E43="失注"),"",H43-L43)</f>
        <v/>
      </c>
      <c r="N43" s="25" t="n"/>
    </row>
    <row r="44">
      <c r="A44" s="25" t="n"/>
      <c r="B44" s="25" t="n"/>
      <c r="C44" s="25" t="n"/>
      <c r="D44" s="25" t="n"/>
      <c r="E44" s="25" t="n"/>
      <c r="F44" s="29" t="n"/>
      <c r="G44" s="19">
        <f>IF(F44="","",ROUND(F44*'設定'!$C$11,0))</f>
        <v/>
      </c>
      <c r="H44" s="19">
        <f>IF(F44="","",F44+G44)</f>
        <v/>
      </c>
      <c r="I44" s="19">
        <f>IF(A44="","",SUMPRODUCT(('予算管理'!$A$6:$A$205=A44)*1,'予算管理'!$E$6:$E$205))</f>
        <v/>
      </c>
      <c r="J44" s="19">
        <f>IF(OR(A44="",F44="",E44="見積中",E44="失注"),"",F44-I44)</f>
        <v/>
      </c>
      <c r="K44" s="24">
        <f>IF(OR(J44="",N(F44)=0),"",J44/F44)</f>
        <v/>
      </c>
      <c r="L44" s="19">
        <f>IF(A44="","",SUMPRODUCT(('入出金帳'!$B$6:$B$505=A44)*1,'入出金帳'!$G$6:$G$505))</f>
        <v/>
      </c>
      <c r="M44" s="19">
        <f>IF(OR(A44="",H44="",E44="見積中",E44="失注"),"",H44-L44)</f>
        <v/>
      </c>
      <c r="N44" s="25" t="n"/>
    </row>
    <row r="45">
      <c r="A45" s="25" t="n"/>
      <c r="B45" s="25" t="n"/>
      <c r="C45" s="25" t="n"/>
      <c r="D45" s="25" t="n"/>
      <c r="E45" s="25" t="n"/>
      <c r="F45" s="29" t="n"/>
      <c r="G45" s="19">
        <f>IF(F45="","",ROUND(F45*'設定'!$C$11,0))</f>
        <v/>
      </c>
      <c r="H45" s="19">
        <f>IF(F45="","",F45+G45)</f>
        <v/>
      </c>
      <c r="I45" s="19">
        <f>IF(A45="","",SUMPRODUCT(('予算管理'!$A$6:$A$205=A45)*1,'予算管理'!$E$6:$E$205))</f>
        <v/>
      </c>
      <c r="J45" s="19">
        <f>IF(OR(A45="",F45="",E45="見積中",E45="失注"),"",F45-I45)</f>
        <v/>
      </c>
      <c r="K45" s="24">
        <f>IF(OR(J45="",N(F45)=0),"",J45/F45)</f>
        <v/>
      </c>
      <c r="L45" s="19">
        <f>IF(A45="","",SUMPRODUCT(('入出金帳'!$B$6:$B$505=A45)*1,'入出金帳'!$G$6:$G$505))</f>
        <v/>
      </c>
      <c r="M45" s="19">
        <f>IF(OR(A45="",H45="",E45="見積中",E45="失注"),"",H45-L45)</f>
        <v/>
      </c>
      <c r="N45" s="25" t="n"/>
    </row>
    <row r="46">
      <c r="A46" s="25" t="n"/>
      <c r="B46" s="25" t="n"/>
      <c r="C46" s="25" t="n"/>
      <c r="D46" s="25" t="n"/>
      <c r="E46" s="25" t="n"/>
      <c r="F46" s="29" t="n"/>
      <c r="G46" s="19">
        <f>IF(F46="","",ROUND(F46*'設定'!$C$11,0))</f>
        <v/>
      </c>
      <c r="H46" s="19">
        <f>IF(F46="","",F46+G46)</f>
        <v/>
      </c>
      <c r="I46" s="19">
        <f>IF(A46="","",SUMPRODUCT(('予算管理'!$A$6:$A$205=A46)*1,'予算管理'!$E$6:$E$205))</f>
        <v/>
      </c>
      <c r="J46" s="19">
        <f>IF(OR(A46="",F46="",E46="見積中",E46="失注"),"",F46-I46)</f>
        <v/>
      </c>
      <c r="K46" s="24">
        <f>IF(OR(J46="",N(F46)=0),"",J46/F46)</f>
        <v/>
      </c>
      <c r="L46" s="19">
        <f>IF(A46="","",SUMPRODUCT(('入出金帳'!$B$6:$B$505=A46)*1,'入出金帳'!$G$6:$G$505))</f>
        <v/>
      </c>
      <c r="M46" s="19">
        <f>IF(OR(A46="",H46="",E46="見積中",E46="失注"),"",H46-L46)</f>
        <v/>
      </c>
      <c r="N46" s="25" t="n"/>
    </row>
    <row r="47">
      <c r="A47" s="25" t="n"/>
      <c r="B47" s="25" t="n"/>
      <c r="C47" s="25" t="n"/>
      <c r="D47" s="25" t="n"/>
      <c r="E47" s="25" t="n"/>
      <c r="F47" s="29" t="n"/>
      <c r="G47" s="19">
        <f>IF(F47="","",ROUND(F47*'設定'!$C$11,0))</f>
        <v/>
      </c>
      <c r="H47" s="19">
        <f>IF(F47="","",F47+G47)</f>
        <v/>
      </c>
      <c r="I47" s="19">
        <f>IF(A47="","",SUMPRODUCT(('予算管理'!$A$6:$A$205=A47)*1,'予算管理'!$E$6:$E$205))</f>
        <v/>
      </c>
      <c r="J47" s="19">
        <f>IF(OR(A47="",F47="",E47="見積中",E47="失注"),"",F47-I47)</f>
        <v/>
      </c>
      <c r="K47" s="24">
        <f>IF(OR(J47="",N(F47)=0),"",J47/F47)</f>
        <v/>
      </c>
      <c r="L47" s="19">
        <f>IF(A47="","",SUMPRODUCT(('入出金帳'!$B$6:$B$505=A47)*1,'入出金帳'!$G$6:$G$505))</f>
        <v/>
      </c>
      <c r="M47" s="19">
        <f>IF(OR(A47="",H47="",E47="見積中",E47="失注"),"",H47-L47)</f>
        <v/>
      </c>
      <c r="N47" s="25" t="n"/>
    </row>
    <row r="48">
      <c r="A48" s="25" t="n"/>
      <c r="B48" s="25" t="n"/>
      <c r="C48" s="25" t="n"/>
      <c r="D48" s="25" t="n"/>
      <c r="E48" s="25" t="n"/>
      <c r="F48" s="29" t="n"/>
      <c r="G48" s="19">
        <f>IF(F48="","",ROUND(F48*'設定'!$C$11,0))</f>
        <v/>
      </c>
      <c r="H48" s="19">
        <f>IF(F48="","",F48+G48)</f>
        <v/>
      </c>
      <c r="I48" s="19">
        <f>IF(A48="","",SUMPRODUCT(('予算管理'!$A$6:$A$205=A48)*1,'予算管理'!$E$6:$E$205))</f>
        <v/>
      </c>
      <c r="J48" s="19">
        <f>IF(OR(A48="",F48="",E48="見積中",E48="失注"),"",F48-I48)</f>
        <v/>
      </c>
      <c r="K48" s="24">
        <f>IF(OR(J48="",N(F48)=0),"",J48/F48)</f>
        <v/>
      </c>
      <c r="L48" s="19">
        <f>IF(A48="","",SUMPRODUCT(('入出金帳'!$B$6:$B$505=A48)*1,'入出金帳'!$G$6:$G$505))</f>
        <v/>
      </c>
      <c r="M48" s="19">
        <f>IF(OR(A48="",H48="",E48="見積中",E48="失注"),"",H48-L48)</f>
        <v/>
      </c>
      <c r="N48" s="25" t="n"/>
    </row>
    <row r="49">
      <c r="A49" s="25" t="n"/>
      <c r="B49" s="25" t="n"/>
      <c r="C49" s="25" t="n"/>
      <c r="D49" s="25" t="n"/>
      <c r="E49" s="25" t="n"/>
      <c r="F49" s="29" t="n"/>
      <c r="G49" s="19">
        <f>IF(F49="","",ROUND(F49*'設定'!$C$11,0))</f>
        <v/>
      </c>
      <c r="H49" s="19">
        <f>IF(F49="","",F49+G49)</f>
        <v/>
      </c>
      <c r="I49" s="19">
        <f>IF(A49="","",SUMPRODUCT(('予算管理'!$A$6:$A$205=A49)*1,'予算管理'!$E$6:$E$205))</f>
        <v/>
      </c>
      <c r="J49" s="19">
        <f>IF(OR(A49="",F49="",E49="見積中",E49="失注"),"",F49-I49)</f>
        <v/>
      </c>
      <c r="K49" s="24">
        <f>IF(OR(J49="",N(F49)=0),"",J49/F49)</f>
        <v/>
      </c>
      <c r="L49" s="19">
        <f>IF(A49="","",SUMPRODUCT(('入出金帳'!$B$6:$B$505=A49)*1,'入出金帳'!$G$6:$G$505))</f>
        <v/>
      </c>
      <c r="M49" s="19">
        <f>IF(OR(A49="",H49="",E49="見積中",E49="失注"),"",H49-L49)</f>
        <v/>
      </c>
      <c r="N49" s="25" t="n"/>
    </row>
    <row r="50">
      <c r="A50" s="25" t="n"/>
      <c r="B50" s="25" t="n"/>
      <c r="C50" s="25" t="n"/>
      <c r="D50" s="25" t="n"/>
      <c r="E50" s="25" t="n"/>
      <c r="F50" s="29" t="n"/>
      <c r="G50" s="19">
        <f>IF(F50="","",ROUND(F50*'設定'!$C$11,0))</f>
        <v/>
      </c>
      <c r="H50" s="19">
        <f>IF(F50="","",F50+G50)</f>
        <v/>
      </c>
      <c r="I50" s="19">
        <f>IF(A50="","",SUMPRODUCT(('予算管理'!$A$6:$A$205=A50)*1,'予算管理'!$E$6:$E$205))</f>
        <v/>
      </c>
      <c r="J50" s="19">
        <f>IF(OR(A50="",F50="",E50="見積中",E50="失注"),"",F50-I50)</f>
        <v/>
      </c>
      <c r="K50" s="24">
        <f>IF(OR(J50="",N(F50)=0),"",J50/F50)</f>
        <v/>
      </c>
      <c r="L50" s="19">
        <f>IF(A50="","",SUMPRODUCT(('入出金帳'!$B$6:$B$505=A50)*1,'入出金帳'!$G$6:$G$505))</f>
        <v/>
      </c>
      <c r="M50" s="19">
        <f>IF(OR(A50="",H50="",E50="見積中",E50="失注"),"",H50-L50)</f>
        <v/>
      </c>
      <c r="N50" s="25" t="n"/>
    </row>
    <row r="51">
      <c r="A51" s="25" t="n"/>
      <c r="B51" s="25" t="n"/>
      <c r="C51" s="25" t="n"/>
      <c r="D51" s="25" t="n"/>
      <c r="E51" s="25" t="n"/>
      <c r="F51" s="29" t="n"/>
      <c r="G51" s="19">
        <f>IF(F51="","",ROUND(F51*'設定'!$C$11,0))</f>
        <v/>
      </c>
      <c r="H51" s="19">
        <f>IF(F51="","",F51+G51)</f>
        <v/>
      </c>
      <c r="I51" s="19">
        <f>IF(A51="","",SUMPRODUCT(('予算管理'!$A$6:$A$205=A51)*1,'予算管理'!$E$6:$E$205))</f>
        <v/>
      </c>
      <c r="J51" s="19">
        <f>IF(OR(A51="",F51="",E51="見積中",E51="失注"),"",F51-I51)</f>
        <v/>
      </c>
      <c r="K51" s="24">
        <f>IF(OR(J51="",N(F51)=0),"",J51/F51)</f>
        <v/>
      </c>
      <c r="L51" s="19">
        <f>IF(A51="","",SUMPRODUCT(('入出金帳'!$B$6:$B$505=A51)*1,'入出金帳'!$G$6:$G$505))</f>
        <v/>
      </c>
      <c r="M51" s="19">
        <f>IF(OR(A51="",H51="",E51="見積中",E51="失注"),"",H51-L51)</f>
        <v/>
      </c>
      <c r="N51" s="25" t="n"/>
    </row>
    <row r="52">
      <c r="A52" s="25" t="n"/>
      <c r="B52" s="25" t="n"/>
      <c r="C52" s="25" t="n"/>
      <c r="D52" s="25" t="n"/>
      <c r="E52" s="25" t="n"/>
      <c r="F52" s="29" t="n"/>
      <c r="G52" s="19">
        <f>IF(F52="","",ROUND(F52*'設定'!$C$11,0))</f>
        <v/>
      </c>
      <c r="H52" s="19">
        <f>IF(F52="","",F52+G52)</f>
        <v/>
      </c>
      <c r="I52" s="19">
        <f>IF(A52="","",SUMPRODUCT(('予算管理'!$A$6:$A$205=A52)*1,'予算管理'!$E$6:$E$205))</f>
        <v/>
      </c>
      <c r="J52" s="19">
        <f>IF(OR(A52="",F52="",E52="見積中",E52="失注"),"",F52-I52)</f>
        <v/>
      </c>
      <c r="K52" s="24">
        <f>IF(OR(J52="",N(F52)=0),"",J52/F52)</f>
        <v/>
      </c>
      <c r="L52" s="19">
        <f>IF(A52="","",SUMPRODUCT(('入出金帳'!$B$6:$B$505=A52)*1,'入出金帳'!$G$6:$G$505))</f>
        <v/>
      </c>
      <c r="M52" s="19">
        <f>IF(OR(A52="",H52="",E52="見積中",E52="失注"),"",H52-L52)</f>
        <v/>
      </c>
      <c r="N52" s="25" t="n"/>
    </row>
    <row r="53">
      <c r="A53" s="25" t="n"/>
      <c r="B53" s="25" t="n"/>
      <c r="C53" s="25" t="n"/>
      <c r="D53" s="25" t="n"/>
      <c r="E53" s="25" t="n"/>
      <c r="F53" s="29" t="n"/>
      <c r="G53" s="19">
        <f>IF(F53="","",ROUND(F53*'設定'!$C$11,0))</f>
        <v/>
      </c>
      <c r="H53" s="19">
        <f>IF(F53="","",F53+G53)</f>
        <v/>
      </c>
      <c r="I53" s="19">
        <f>IF(A53="","",SUMPRODUCT(('予算管理'!$A$6:$A$205=A53)*1,'予算管理'!$E$6:$E$205))</f>
        <v/>
      </c>
      <c r="J53" s="19">
        <f>IF(OR(A53="",F53="",E53="見積中",E53="失注"),"",F53-I53)</f>
        <v/>
      </c>
      <c r="K53" s="24">
        <f>IF(OR(J53="",N(F53)=0),"",J53/F53)</f>
        <v/>
      </c>
      <c r="L53" s="19">
        <f>IF(A53="","",SUMPRODUCT(('入出金帳'!$B$6:$B$505=A53)*1,'入出金帳'!$G$6:$G$505))</f>
        <v/>
      </c>
      <c r="M53" s="19">
        <f>IF(OR(A53="",H53="",E53="見積中",E53="失注"),"",H53-L53)</f>
        <v/>
      </c>
      <c r="N53" s="25" t="n"/>
    </row>
    <row r="54">
      <c r="A54" s="25" t="n"/>
      <c r="B54" s="25" t="n"/>
      <c r="C54" s="25" t="n"/>
      <c r="D54" s="25" t="n"/>
      <c r="E54" s="25" t="n"/>
      <c r="F54" s="29" t="n"/>
      <c r="G54" s="19">
        <f>IF(F54="","",ROUND(F54*'設定'!$C$11,0))</f>
        <v/>
      </c>
      <c r="H54" s="19">
        <f>IF(F54="","",F54+G54)</f>
        <v/>
      </c>
      <c r="I54" s="19">
        <f>IF(A54="","",SUMPRODUCT(('予算管理'!$A$6:$A$205=A54)*1,'予算管理'!$E$6:$E$205))</f>
        <v/>
      </c>
      <c r="J54" s="19">
        <f>IF(OR(A54="",F54="",E54="見積中",E54="失注"),"",F54-I54)</f>
        <v/>
      </c>
      <c r="K54" s="24">
        <f>IF(OR(J54="",N(F54)=0),"",J54/F54)</f>
        <v/>
      </c>
      <c r="L54" s="19">
        <f>IF(A54="","",SUMPRODUCT(('入出金帳'!$B$6:$B$505=A54)*1,'入出金帳'!$G$6:$G$505))</f>
        <v/>
      </c>
      <c r="M54" s="19">
        <f>IF(OR(A54="",H54="",E54="見積中",E54="失注"),"",H54-L54)</f>
        <v/>
      </c>
      <c r="N54" s="25" t="n"/>
    </row>
    <row r="55">
      <c r="A55" s="25" t="n"/>
      <c r="B55" s="25" t="n"/>
      <c r="C55" s="25" t="n"/>
      <c r="D55" s="25" t="n"/>
      <c r="E55" s="25" t="n"/>
      <c r="F55" s="29" t="n"/>
      <c r="G55" s="19">
        <f>IF(F55="","",ROUND(F55*'設定'!$C$11,0))</f>
        <v/>
      </c>
      <c r="H55" s="19">
        <f>IF(F55="","",F55+G55)</f>
        <v/>
      </c>
      <c r="I55" s="19">
        <f>IF(A55="","",SUMPRODUCT(('予算管理'!$A$6:$A$205=A55)*1,'予算管理'!$E$6:$E$205))</f>
        <v/>
      </c>
      <c r="J55" s="19">
        <f>IF(OR(A55="",F55="",E55="見積中",E55="失注"),"",F55-I55)</f>
        <v/>
      </c>
      <c r="K55" s="24">
        <f>IF(OR(J55="",N(F55)=0),"",J55/F55)</f>
        <v/>
      </c>
      <c r="L55" s="19">
        <f>IF(A55="","",SUMPRODUCT(('入出金帳'!$B$6:$B$505=A55)*1,'入出金帳'!$G$6:$G$505))</f>
        <v/>
      </c>
      <c r="M55" s="19">
        <f>IF(OR(A55="",H55="",E55="見積中",E55="失注"),"",H55-L55)</f>
        <v/>
      </c>
      <c r="N55" s="25" t="n"/>
    </row>
    <row r="56">
      <c r="A56" s="25" t="n"/>
      <c r="B56" s="25" t="n"/>
      <c r="C56" s="25" t="n"/>
      <c r="D56" s="25" t="n"/>
      <c r="E56" s="25" t="n"/>
      <c r="F56" s="29" t="n"/>
      <c r="G56" s="19">
        <f>IF(F56="","",ROUND(F56*'設定'!$C$11,0))</f>
        <v/>
      </c>
      <c r="H56" s="19">
        <f>IF(F56="","",F56+G56)</f>
        <v/>
      </c>
      <c r="I56" s="19">
        <f>IF(A56="","",SUMPRODUCT(('予算管理'!$A$6:$A$205=A56)*1,'予算管理'!$E$6:$E$205))</f>
        <v/>
      </c>
      <c r="J56" s="19">
        <f>IF(OR(A56="",F56="",E56="見積中",E56="失注"),"",F56-I56)</f>
        <v/>
      </c>
      <c r="K56" s="24">
        <f>IF(OR(J56="",N(F56)=0),"",J56/F56)</f>
        <v/>
      </c>
      <c r="L56" s="19">
        <f>IF(A56="","",SUMPRODUCT(('入出金帳'!$B$6:$B$505=A56)*1,'入出金帳'!$G$6:$G$505))</f>
        <v/>
      </c>
      <c r="M56" s="19">
        <f>IF(OR(A56="",H56="",E56="見積中",E56="失注"),"",H56-L56)</f>
        <v/>
      </c>
      <c r="N56" s="25" t="n"/>
    </row>
    <row r="57">
      <c r="A57" s="25" t="n"/>
      <c r="B57" s="25" t="n"/>
      <c r="C57" s="25" t="n"/>
      <c r="D57" s="25" t="n"/>
      <c r="E57" s="25" t="n"/>
      <c r="F57" s="29" t="n"/>
      <c r="G57" s="19">
        <f>IF(F57="","",ROUND(F57*'設定'!$C$11,0))</f>
        <v/>
      </c>
      <c r="H57" s="19">
        <f>IF(F57="","",F57+G57)</f>
        <v/>
      </c>
      <c r="I57" s="19">
        <f>IF(A57="","",SUMPRODUCT(('予算管理'!$A$6:$A$205=A57)*1,'予算管理'!$E$6:$E$205))</f>
        <v/>
      </c>
      <c r="J57" s="19">
        <f>IF(OR(A57="",F57="",E57="見積中",E57="失注"),"",F57-I57)</f>
        <v/>
      </c>
      <c r="K57" s="24">
        <f>IF(OR(J57="",N(F57)=0),"",J57/F57)</f>
        <v/>
      </c>
      <c r="L57" s="19">
        <f>IF(A57="","",SUMPRODUCT(('入出金帳'!$B$6:$B$505=A57)*1,'入出金帳'!$G$6:$G$505))</f>
        <v/>
      </c>
      <c r="M57" s="19">
        <f>IF(OR(A57="",H57="",E57="見積中",E57="失注"),"",H57-L57)</f>
        <v/>
      </c>
      <c r="N57" s="25" t="n"/>
    </row>
    <row r="58">
      <c r="A58" s="25" t="n"/>
      <c r="B58" s="25" t="n"/>
      <c r="C58" s="25" t="n"/>
      <c r="D58" s="25" t="n"/>
      <c r="E58" s="25" t="n"/>
      <c r="F58" s="29" t="n"/>
      <c r="G58" s="19">
        <f>IF(F58="","",ROUND(F58*'設定'!$C$11,0))</f>
        <v/>
      </c>
      <c r="H58" s="19">
        <f>IF(F58="","",F58+G58)</f>
        <v/>
      </c>
      <c r="I58" s="19">
        <f>IF(A58="","",SUMPRODUCT(('予算管理'!$A$6:$A$205=A58)*1,'予算管理'!$E$6:$E$205))</f>
        <v/>
      </c>
      <c r="J58" s="19">
        <f>IF(OR(A58="",F58="",E58="見積中",E58="失注"),"",F58-I58)</f>
        <v/>
      </c>
      <c r="K58" s="24">
        <f>IF(OR(J58="",N(F58)=0),"",J58/F58)</f>
        <v/>
      </c>
      <c r="L58" s="19">
        <f>IF(A58="","",SUMPRODUCT(('入出金帳'!$B$6:$B$505=A58)*1,'入出金帳'!$G$6:$G$505))</f>
        <v/>
      </c>
      <c r="M58" s="19">
        <f>IF(OR(A58="",H58="",E58="見積中",E58="失注"),"",H58-L58)</f>
        <v/>
      </c>
      <c r="N58" s="25" t="n"/>
    </row>
    <row r="59">
      <c r="A59" s="25" t="n"/>
      <c r="B59" s="25" t="n"/>
      <c r="C59" s="25" t="n"/>
      <c r="D59" s="25" t="n"/>
      <c r="E59" s="25" t="n"/>
      <c r="F59" s="29" t="n"/>
      <c r="G59" s="19">
        <f>IF(F59="","",ROUND(F59*'設定'!$C$11,0))</f>
        <v/>
      </c>
      <c r="H59" s="19">
        <f>IF(F59="","",F59+G59)</f>
        <v/>
      </c>
      <c r="I59" s="19">
        <f>IF(A59="","",SUMPRODUCT(('予算管理'!$A$6:$A$205=A59)*1,'予算管理'!$E$6:$E$205))</f>
        <v/>
      </c>
      <c r="J59" s="19">
        <f>IF(OR(A59="",F59="",E59="見積中",E59="失注"),"",F59-I59)</f>
        <v/>
      </c>
      <c r="K59" s="24">
        <f>IF(OR(J59="",N(F59)=0),"",J59/F59)</f>
        <v/>
      </c>
      <c r="L59" s="19">
        <f>IF(A59="","",SUMPRODUCT(('入出金帳'!$B$6:$B$505=A59)*1,'入出金帳'!$G$6:$G$505))</f>
        <v/>
      </c>
      <c r="M59" s="19">
        <f>IF(OR(A59="",H59="",E59="見積中",E59="失注"),"",H59-L59)</f>
        <v/>
      </c>
      <c r="N59" s="25" t="n"/>
    </row>
    <row r="60">
      <c r="A60" s="25" t="n"/>
      <c r="B60" s="25" t="n"/>
      <c r="C60" s="25" t="n"/>
      <c r="D60" s="25" t="n"/>
      <c r="E60" s="25" t="n"/>
      <c r="F60" s="29" t="n"/>
      <c r="G60" s="19">
        <f>IF(F60="","",ROUND(F60*'設定'!$C$11,0))</f>
        <v/>
      </c>
      <c r="H60" s="19">
        <f>IF(F60="","",F60+G60)</f>
        <v/>
      </c>
      <c r="I60" s="19">
        <f>IF(A60="","",SUMPRODUCT(('予算管理'!$A$6:$A$205=A60)*1,'予算管理'!$E$6:$E$205))</f>
        <v/>
      </c>
      <c r="J60" s="19">
        <f>IF(OR(A60="",F60="",E60="見積中",E60="失注"),"",F60-I60)</f>
        <v/>
      </c>
      <c r="K60" s="24">
        <f>IF(OR(J60="",N(F60)=0),"",J60/F60)</f>
        <v/>
      </c>
      <c r="L60" s="19">
        <f>IF(A60="","",SUMPRODUCT(('入出金帳'!$B$6:$B$505=A60)*1,'入出金帳'!$G$6:$G$505))</f>
        <v/>
      </c>
      <c r="M60" s="19">
        <f>IF(OR(A60="",H60="",E60="見積中",E60="失注"),"",H60-L60)</f>
        <v/>
      </c>
      <c r="N60" s="25" t="n"/>
    </row>
    <row r="61">
      <c r="A61" s="25" t="n"/>
      <c r="B61" s="25" t="n"/>
      <c r="C61" s="25" t="n"/>
      <c r="D61" s="25" t="n"/>
      <c r="E61" s="25" t="n"/>
      <c r="F61" s="29" t="n"/>
      <c r="G61" s="19">
        <f>IF(F61="","",ROUND(F61*'設定'!$C$11,0))</f>
        <v/>
      </c>
      <c r="H61" s="19">
        <f>IF(F61="","",F61+G61)</f>
        <v/>
      </c>
      <c r="I61" s="19">
        <f>IF(A61="","",SUMPRODUCT(('予算管理'!$A$6:$A$205=A61)*1,'予算管理'!$E$6:$E$205))</f>
        <v/>
      </c>
      <c r="J61" s="19">
        <f>IF(OR(A61="",F61="",E61="見積中",E61="失注"),"",F61-I61)</f>
        <v/>
      </c>
      <c r="K61" s="24">
        <f>IF(OR(J61="",N(F61)=0),"",J61/F61)</f>
        <v/>
      </c>
      <c r="L61" s="19">
        <f>IF(A61="","",SUMPRODUCT(('入出金帳'!$B$6:$B$505=A61)*1,'入出金帳'!$G$6:$G$505))</f>
        <v/>
      </c>
      <c r="M61" s="19">
        <f>IF(OR(A61="",H61="",E61="見積中",E61="失注"),"",H61-L61)</f>
        <v/>
      </c>
      <c r="N61" s="25" t="n"/>
    </row>
    <row r="62">
      <c r="A62" s="25" t="n"/>
      <c r="B62" s="25" t="n"/>
      <c r="C62" s="25" t="n"/>
      <c r="D62" s="25" t="n"/>
      <c r="E62" s="25" t="n"/>
      <c r="F62" s="29" t="n"/>
      <c r="G62" s="19">
        <f>IF(F62="","",ROUND(F62*'設定'!$C$11,0))</f>
        <v/>
      </c>
      <c r="H62" s="19">
        <f>IF(F62="","",F62+G62)</f>
        <v/>
      </c>
      <c r="I62" s="19">
        <f>IF(A62="","",SUMPRODUCT(('予算管理'!$A$6:$A$205=A62)*1,'予算管理'!$E$6:$E$205))</f>
        <v/>
      </c>
      <c r="J62" s="19">
        <f>IF(OR(A62="",F62="",E62="見積中",E62="失注"),"",F62-I62)</f>
        <v/>
      </c>
      <c r="K62" s="24">
        <f>IF(OR(J62="",N(F62)=0),"",J62/F62)</f>
        <v/>
      </c>
      <c r="L62" s="19">
        <f>IF(A62="","",SUMPRODUCT(('入出金帳'!$B$6:$B$505=A62)*1,'入出金帳'!$G$6:$G$505))</f>
        <v/>
      </c>
      <c r="M62" s="19">
        <f>IF(OR(A62="",H62="",E62="見積中",E62="失注"),"",H62-L62)</f>
        <v/>
      </c>
      <c r="N62" s="25" t="n"/>
    </row>
    <row r="63">
      <c r="A63" s="25" t="n"/>
      <c r="B63" s="25" t="n"/>
      <c r="C63" s="25" t="n"/>
      <c r="D63" s="25" t="n"/>
      <c r="E63" s="25" t="n"/>
      <c r="F63" s="29" t="n"/>
      <c r="G63" s="19">
        <f>IF(F63="","",ROUND(F63*'設定'!$C$11,0))</f>
        <v/>
      </c>
      <c r="H63" s="19">
        <f>IF(F63="","",F63+G63)</f>
        <v/>
      </c>
      <c r="I63" s="19">
        <f>IF(A63="","",SUMPRODUCT(('予算管理'!$A$6:$A$205=A63)*1,'予算管理'!$E$6:$E$205))</f>
        <v/>
      </c>
      <c r="J63" s="19">
        <f>IF(OR(A63="",F63="",E63="見積中",E63="失注"),"",F63-I63)</f>
        <v/>
      </c>
      <c r="K63" s="24">
        <f>IF(OR(J63="",N(F63)=0),"",J63/F63)</f>
        <v/>
      </c>
      <c r="L63" s="19">
        <f>IF(A63="","",SUMPRODUCT(('入出金帳'!$B$6:$B$505=A63)*1,'入出金帳'!$G$6:$G$505))</f>
        <v/>
      </c>
      <c r="M63" s="19">
        <f>IF(OR(A63="",H63="",E63="見積中",E63="失注"),"",H63-L63)</f>
        <v/>
      </c>
      <c r="N63" s="25" t="n"/>
    </row>
    <row r="64">
      <c r="A64" s="25" t="n"/>
      <c r="B64" s="25" t="n"/>
      <c r="C64" s="25" t="n"/>
      <c r="D64" s="25" t="n"/>
      <c r="E64" s="25" t="n"/>
      <c r="F64" s="29" t="n"/>
      <c r="G64" s="19">
        <f>IF(F64="","",ROUND(F64*'設定'!$C$11,0))</f>
        <v/>
      </c>
      <c r="H64" s="19">
        <f>IF(F64="","",F64+G64)</f>
        <v/>
      </c>
      <c r="I64" s="19">
        <f>IF(A64="","",SUMPRODUCT(('予算管理'!$A$6:$A$205=A64)*1,'予算管理'!$E$6:$E$205))</f>
        <v/>
      </c>
      <c r="J64" s="19">
        <f>IF(OR(A64="",F64="",E64="見積中",E64="失注"),"",F64-I64)</f>
        <v/>
      </c>
      <c r="K64" s="24">
        <f>IF(OR(J64="",N(F64)=0),"",J64/F64)</f>
        <v/>
      </c>
      <c r="L64" s="19">
        <f>IF(A64="","",SUMPRODUCT(('入出金帳'!$B$6:$B$505=A64)*1,'入出金帳'!$G$6:$G$505))</f>
        <v/>
      </c>
      <c r="M64" s="19">
        <f>IF(OR(A64="",H64="",E64="見積中",E64="失注"),"",H64-L64)</f>
        <v/>
      </c>
      <c r="N64" s="25" t="n"/>
    </row>
    <row r="65">
      <c r="A65" s="25" t="n"/>
      <c r="B65" s="25" t="n"/>
      <c r="C65" s="25" t="n"/>
      <c r="D65" s="25" t="n"/>
      <c r="E65" s="25" t="n"/>
      <c r="F65" s="29" t="n"/>
      <c r="G65" s="19">
        <f>IF(F65="","",ROUND(F65*'設定'!$C$11,0))</f>
        <v/>
      </c>
      <c r="H65" s="19">
        <f>IF(F65="","",F65+G65)</f>
        <v/>
      </c>
      <c r="I65" s="19">
        <f>IF(A65="","",SUMPRODUCT(('予算管理'!$A$6:$A$205=A65)*1,'予算管理'!$E$6:$E$205))</f>
        <v/>
      </c>
      <c r="J65" s="19">
        <f>IF(OR(A65="",F65="",E65="見積中",E65="失注"),"",F65-I65)</f>
        <v/>
      </c>
      <c r="K65" s="24">
        <f>IF(OR(J65="",N(F65)=0),"",J65/F65)</f>
        <v/>
      </c>
      <c r="L65" s="19">
        <f>IF(A65="","",SUMPRODUCT(('入出金帳'!$B$6:$B$505=A65)*1,'入出金帳'!$G$6:$G$505))</f>
        <v/>
      </c>
      <c r="M65" s="19">
        <f>IF(OR(A65="",H65="",E65="見積中",E65="失注"),"",H65-L65)</f>
        <v/>
      </c>
      <c r="N65" s="25" t="n"/>
    </row>
    <row r="66">
      <c r="A66" s="25" t="n"/>
      <c r="B66" s="25" t="n"/>
      <c r="C66" s="25" t="n"/>
      <c r="D66" s="25" t="n"/>
      <c r="E66" s="25" t="n"/>
      <c r="F66" s="29" t="n"/>
      <c r="G66" s="19">
        <f>IF(F66="","",ROUND(F66*'設定'!$C$11,0))</f>
        <v/>
      </c>
      <c r="H66" s="19">
        <f>IF(F66="","",F66+G66)</f>
        <v/>
      </c>
      <c r="I66" s="19">
        <f>IF(A66="","",SUMPRODUCT(('予算管理'!$A$6:$A$205=A66)*1,'予算管理'!$E$6:$E$205))</f>
        <v/>
      </c>
      <c r="J66" s="19">
        <f>IF(OR(A66="",F66="",E66="見積中",E66="失注"),"",F66-I66)</f>
        <v/>
      </c>
      <c r="K66" s="24">
        <f>IF(OR(J66="",N(F66)=0),"",J66/F66)</f>
        <v/>
      </c>
      <c r="L66" s="19">
        <f>IF(A66="","",SUMPRODUCT(('入出金帳'!$B$6:$B$505=A66)*1,'入出金帳'!$G$6:$G$505))</f>
        <v/>
      </c>
      <c r="M66" s="19">
        <f>IF(OR(A66="",H66="",E66="見積中",E66="失注"),"",H66-L66)</f>
        <v/>
      </c>
      <c r="N66" s="25" t="n"/>
    </row>
    <row r="67">
      <c r="A67" s="25" t="n"/>
      <c r="B67" s="25" t="n"/>
      <c r="C67" s="25" t="n"/>
      <c r="D67" s="25" t="n"/>
      <c r="E67" s="25" t="n"/>
      <c r="F67" s="29" t="n"/>
      <c r="G67" s="19">
        <f>IF(F67="","",ROUND(F67*'設定'!$C$11,0))</f>
        <v/>
      </c>
      <c r="H67" s="19">
        <f>IF(F67="","",F67+G67)</f>
        <v/>
      </c>
      <c r="I67" s="19">
        <f>IF(A67="","",SUMPRODUCT(('予算管理'!$A$6:$A$205=A67)*1,'予算管理'!$E$6:$E$205))</f>
        <v/>
      </c>
      <c r="J67" s="19">
        <f>IF(OR(A67="",F67="",E67="見積中",E67="失注"),"",F67-I67)</f>
        <v/>
      </c>
      <c r="K67" s="24">
        <f>IF(OR(J67="",N(F67)=0),"",J67/F67)</f>
        <v/>
      </c>
      <c r="L67" s="19">
        <f>IF(A67="","",SUMPRODUCT(('入出金帳'!$B$6:$B$505=A67)*1,'入出金帳'!$G$6:$G$505))</f>
        <v/>
      </c>
      <c r="M67" s="19">
        <f>IF(OR(A67="",H67="",E67="見積中",E67="失注"),"",H67-L67)</f>
        <v/>
      </c>
      <c r="N67" s="25" t="n"/>
    </row>
    <row r="68">
      <c r="A68" s="25" t="n"/>
      <c r="B68" s="25" t="n"/>
      <c r="C68" s="25" t="n"/>
      <c r="D68" s="25" t="n"/>
      <c r="E68" s="25" t="n"/>
      <c r="F68" s="29" t="n"/>
      <c r="G68" s="19">
        <f>IF(F68="","",ROUND(F68*'設定'!$C$11,0))</f>
        <v/>
      </c>
      <c r="H68" s="19">
        <f>IF(F68="","",F68+G68)</f>
        <v/>
      </c>
      <c r="I68" s="19">
        <f>IF(A68="","",SUMPRODUCT(('予算管理'!$A$6:$A$205=A68)*1,'予算管理'!$E$6:$E$205))</f>
        <v/>
      </c>
      <c r="J68" s="19">
        <f>IF(OR(A68="",F68="",E68="見積中",E68="失注"),"",F68-I68)</f>
        <v/>
      </c>
      <c r="K68" s="24">
        <f>IF(OR(J68="",N(F68)=0),"",J68/F68)</f>
        <v/>
      </c>
      <c r="L68" s="19">
        <f>IF(A68="","",SUMPRODUCT(('入出金帳'!$B$6:$B$505=A68)*1,'入出金帳'!$G$6:$G$505))</f>
        <v/>
      </c>
      <c r="M68" s="19">
        <f>IF(OR(A68="",H68="",E68="見積中",E68="失注"),"",H68-L68)</f>
        <v/>
      </c>
      <c r="N68" s="25" t="n"/>
    </row>
    <row r="69">
      <c r="A69" s="25" t="n"/>
      <c r="B69" s="25" t="n"/>
      <c r="C69" s="25" t="n"/>
      <c r="D69" s="25" t="n"/>
      <c r="E69" s="25" t="n"/>
      <c r="F69" s="29" t="n"/>
      <c r="G69" s="19">
        <f>IF(F69="","",ROUND(F69*'設定'!$C$11,0))</f>
        <v/>
      </c>
      <c r="H69" s="19">
        <f>IF(F69="","",F69+G69)</f>
        <v/>
      </c>
      <c r="I69" s="19">
        <f>IF(A69="","",SUMPRODUCT(('予算管理'!$A$6:$A$205=A69)*1,'予算管理'!$E$6:$E$205))</f>
        <v/>
      </c>
      <c r="J69" s="19">
        <f>IF(OR(A69="",F69="",E69="見積中",E69="失注"),"",F69-I69)</f>
        <v/>
      </c>
      <c r="K69" s="24">
        <f>IF(OR(J69="",N(F69)=0),"",J69/F69)</f>
        <v/>
      </c>
      <c r="L69" s="19">
        <f>IF(A69="","",SUMPRODUCT(('入出金帳'!$B$6:$B$505=A69)*1,'入出金帳'!$G$6:$G$505))</f>
        <v/>
      </c>
      <c r="M69" s="19">
        <f>IF(OR(A69="",H69="",E69="見積中",E69="失注"),"",H69-L69)</f>
        <v/>
      </c>
      <c r="N69" s="25" t="n"/>
    </row>
    <row r="70">
      <c r="A70" s="25" t="n"/>
      <c r="B70" s="25" t="n"/>
      <c r="C70" s="25" t="n"/>
      <c r="D70" s="25" t="n"/>
      <c r="E70" s="25" t="n"/>
      <c r="F70" s="29" t="n"/>
      <c r="G70" s="19">
        <f>IF(F70="","",ROUND(F70*'設定'!$C$11,0))</f>
        <v/>
      </c>
      <c r="H70" s="19">
        <f>IF(F70="","",F70+G70)</f>
        <v/>
      </c>
      <c r="I70" s="19">
        <f>IF(A70="","",SUMPRODUCT(('予算管理'!$A$6:$A$205=A70)*1,'予算管理'!$E$6:$E$205))</f>
        <v/>
      </c>
      <c r="J70" s="19">
        <f>IF(OR(A70="",F70="",E70="見積中",E70="失注"),"",F70-I70)</f>
        <v/>
      </c>
      <c r="K70" s="24">
        <f>IF(OR(J70="",N(F70)=0),"",J70/F70)</f>
        <v/>
      </c>
      <c r="L70" s="19">
        <f>IF(A70="","",SUMPRODUCT(('入出金帳'!$B$6:$B$505=A70)*1,'入出金帳'!$G$6:$G$505))</f>
        <v/>
      </c>
      <c r="M70" s="19">
        <f>IF(OR(A70="",H70="",E70="見積中",E70="失注"),"",H70-L70)</f>
        <v/>
      </c>
      <c r="N70" s="25" t="n"/>
    </row>
    <row r="71">
      <c r="A71" s="25" t="n"/>
      <c r="B71" s="25" t="n"/>
      <c r="C71" s="25" t="n"/>
      <c r="D71" s="25" t="n"/>
      <c r="E71" s="25" t="n"/>
      <c r="F71" s="29" t="n"/>
      <c r="G71" s="19">
        <f>IF(F71="","",ROUND(F71*'設定'!$C$11,0))</f>
        <v/>
      </c>
      <c r="H71" s="19">
        <f>IF(F71="","",F71+G71)</f>
        <v/>
      </c>
      <c r="I71" s="19">
        <f>IF(A71="","",SUMPRODUCT(('予算管理'!$A$6:$A$205=A71)*1,'予算管理'!$E$6:$E$205))</f>
        <v/>
      </c>
      <c r="J71" s="19">
        <f>IF(OR(A71="",F71="",E71="見積中",E71="失注"),"",F71-I71)</f>
        <v/>
      </c>
      <c r="K71" s="24">
        <f>IF(OR(J71="",N(F71)=0),"",J71/F71)</f>
        <v/>
      </c>
      <c r="L71" s="19">
        <f>IF(A71="","",SUMPRODUCT(('入出金帳'!$B$6:$B$505=A71)*1,'入出金帳'!$G$6:$G$505))</f>
        <v/>
      </c>
      <c r="M71" s="19">
        <f>IF(OR(A71="",H71="",E71="見積中",E71="失注"),"",H71-L71)</f>
        <v/>
      </c>
      <c r="N71" s="25" t="n"/>
    </row>
    <row r="72">
      <c r="A72" s="25" t="n"/>
      <c r="B72" s="25" t="n"/>
      <c r="C72" s="25" t="n"/>
      <c r="D72" s="25" t="n"/>
      <c r="E72" s="25" t="n"/>
      <c r="F72" s="29" t="n"/>
      <c r="G72" s="19">
        <f>IF(F72="","",ROUND(F72*'設定'!$C$11,0))</f>
        <v/>
      </c>
      <c r="H72" s="19">
        <f>IF(F72="","",F72+G72)</f>
        <v/>
      </c>
      <c r="I72" s="19">
        <f>IF(A72="","",SUMPRODUCT(('予算管理'!$A$6:$A$205=A72)*1,'予算管理'!$E$6:$E$205))</f>
        <v/>
      </c>
      <c r="J72" s="19">
        <f>IF(OR(A72="",F72="",E72="見積中",E72="失注"),"",F72-I72)</f>
        <v/>
      </c>
      <c r="K72" s="24">
        <f>IF(OR(J72="",N(F72)=0),"",J72/F72)</f>
        <v/>
      </c>
      <c r="L72" s="19">
        <f>IF(A72="","",SUMPRODUCT(('入出金帳'!$B$6:$B$505=A72)*1,'入出金帳'!$G$6:$G$505))</f>
        <v/>
      </c>
      <c r="M72" s="19">
        <f>IF(OR(A72="",H72="",E72="見積中",E72="失注"),"",H72-L72)</f>
        <v/>
      </c>
      <c r="N72" s="25" t="n"/>
    </row>
    <row r="73">
      <c r="A73" s="25" t="n"/>
      <c r="B73" s="25" t="n"/>
      <c r="C73" s="25" t="n"/>
      <c r="D73" s="25" t="n"/>
      <c r="E73" s="25" t="n"/>
      <c r="F73" s="29" t="n"/>
      <c r="G73" s="19">
        <f>IF(F73="","",ROUND(F73*'設定'!$C$11,0))</f>
        <v/>
      </c>
      <c r="H73" s="19">
        <f>IF(F73="","",F73+G73)</f>
        <v/>
      </c>
      <c r="I73" s="19">
        <f>IF(A73="","",SUMPRODUCT(('予算管理'!$A$6:$A$205=A73)*1,'予算管理'!$E$6:$E$205))</f>
        <v/>
      </c>
      <c r="J73" s="19">
        <f>IF(OR(A73="",F73="",E73="見積中",E73="失注"),"",F73-I73)</f>
        <v/>
      </c>
      <c r="K73" s="24">
        <f>IF(OR(J73="",N(F73)=0),"",J73/F73)</f>
        <v/>
      </c>
      <c r="L73" s="19">
        <f>IF(A73="","",SUMPRODUCT(('入出金帳'!$B$6:$B$505=A73)*1,'入出金帳'!$G$6:$G$505))</f>
        <v/>
      </c>
      <c r="M73" s="19">
        <f>IF(OR(A73="",H73="",E73="見積中",E73="失注"),"",H73-L73)</f>
        <v/>
      </c>
      <c r="N73" s="25" t="n"/>
    </row>
    <row r="74">
      <c r="A74" s="25" t="n"/>
      <c r="B74" s="25" t="n"/>
      <c r="C74" s="25" t="n"/>
      <c r="D74" s="25" t="n"/>
      <c r="E74" s="25" t="n"/>
      <c r="F74" s="29" t="n"/>
      <c r="G74" s="19">
        <f>IF(F74="","",ROUND(F74*'設定'!$C$11,0))</f>
        <v/>
      </c>
      <c r="H74" s="19">
        <f>IF(F74="","",F74+G74)</f>
        <v/>
      </c>
      <c r="I74" s="19">
        <f>IF(A74="","",SUMPRODUCT(('予算管理'!$A$6:$A$205=A74)*1,'予算管理'!$E$6:$E$205))</f>
        <v/>
      </c>
      <c r="J74" s="19">
        <f>IF(OR(A74="",F74="",E74="見積中",E74="失注"),"",F74-I74)</f>
        <v/>
      </c>
      <c r="K74" s="24">
        <f>IF(OR(J74="",N(F74)=0),"",J74/F74)</f>
        <v/>
      </c>
      <c r="L74" s="19">
        <f>IF(A74="","",SUMPRODUCT(('入出金帳'!$B$6:$B$505=A74)*1,'入出金帳'!$G$6:$G$505))</f>
        <v/>
      </c>
      <c r="M74" s="19">
        <f>IF(OR(A74="",H74="",E74="見積中",E74="失注"),"",H74-L74)</f>
        <v/>
      </c>
      <c r="N74" s="25" t="n"/>
    </row>
    <row r="75">
      <c r="A75" s="25" t="n"/>
      <c r="B75" s="25" t="n"/>
      <c r="C75" s="25" t="n"/>
      <c r="D75" s="25" t="n"/>
      <c r="E75" s="25" t="n"/>
      <c r="F75" s="29" t="n"/>
      <c r="G75" s="19">
        <f>IF(F75="","",ROUND(F75*'設定'!$C$11,0))</f>
        <v/>
      </c>
      <c r="H75" s="19">
        <f>IF(F75="","",F75+G75)</f>
        <v/>
      </c>
      <c r="I75" s="19">
        <f>IF(A75="","",SUMPRODUCT(('予算管理'!$A$6:$A$205=A75)*1,'予算管理'!$E$6:$E$205))</f>
        <v/>
      </c>
      <c r="J75" s="19">
        <f>IF(OR(A75="",F75="",E75="見積中",E75="失注"),"",F75-I75)</f>
        <v/>
      </c>
      <c r="K75" s="24">
        <f>IF(OR(J75="",N(F75)=0),"",J75/F75)</f>
        <v/>
      </c>
      <c r="L75" s="19">
        <f>IF(A75="","",SUMPRODUCT(('入出金帳'!$B$6:$B$505=A75)*1,'入出金帳'!$G$6:$G$505))</f>
        <v/>
      </c>
      <c r="M75" s="19">
        <f>IF(OR(A75="",H75="",E75="見積中",E75="失注"),"",H75-L75)</f>
        <v/>
      </c>
      <c r="N75" s="25" t="n"/>
    </row>
    <row r="76">
      <c r="A76" s="25" t="n"/>
      <c r="B76" s="25" t="n"/>
      <c r="C76" s="25" t="n"/>
      <c r="D76" s="25" t="n"/>
      <c r="E76" s="25" t="n"/>
      <c r="F76" s="29" t="n"/>
      <c r="G76" s="19">
        <f>IF(F76="","",ROUND(F76*'設定'!$C$11,0))</f>
        <v/>
      </c>
      <c r="H76" s="19">
        <f>IF(F76="","",F76+G76)</f>
        <v/>
      </c>
      <c r="I76" s="19">
        <f>IF(A76="","",SUMPRODUCT(('予算管理'!$A$6:$A$205=A76)*1,'予算管理'!$E$6:$E$205))</f>
        <v/>
      </c>
      <c r="J76" s="19">
        <f>IF(OR(A76="",F76="",E76="見積中",E76="失注"),"",F76-I76)</f>
        <v/>
      </c>
      <c r="K76" s="24">
        <f>IF(OR(J76="",N(F76)=0),"",J76/F76)</f>
        <v/>
      </c>
      <c r="L76" s="19">
        <f>IF(A76="","",SUMPRODUCT(('入出金帳'!$B$6:$B$505=A76)*1,'入出金帳'!$G$6:$G$505))</f>
        <v/>
      </c>
      <c r="M76" s="19">
        <f>IF(OR(A76="",H76="",E76="見積中",E76="失注"),"",H76-L76)</f>
        <v/>
      </c>
      <c r="N76" s="25" t="n"/>
    </row>
    <row r="77">
      <c r="A77" s="25" t="n"/>
      <c r="B77" s="25" t="n"/>
      <c r="C77" s="25" t="n"/>
      <c r="D77" s="25" t="n"/>
      <c r="E77" s="25" t="n"/>
      <c r="F77" s="29" t="n"/>
      <c r="G77" s="19">
        <f>IF(F77="","",ROUND(F77*'設定'!$C$11,0))</f>
        <v/>
      </c>
      <c r="H77" s="19">
        <f>IF(F77="","",F77+G77)</f>
        <v/>
      </c>
      <c r="I77" s="19">
        <f>IF(A77="","",SUMPRODUCT(('予算管理'!$A$6:$A$205=A77)*1,'予算管理'!$E$6:$E$205))</f>
        <v/>
      </c>
      <c r="J77" s="19">
        <f>IF(OR(A77="",F77="",E77="見積中",E77="失注"),"",F77-I77)</f>
        <v/>
      </c>
      <c r="K77" s="24">
        <f>IF(OR(J77="",N(F77)=0),"",J77/F77)</f>
        <v/>
      </c>
      <c r="L77" s="19">
        <f>IF(A77="","",SUMPRODUCT(('入出金帳'!$B$6:$B$505=A77)*1,'入出金帳'!$G$6:$G$505))</f>
        <v/>
      </c>
      <c r="M77" s="19">
        <f>IF(OR(A77="",H77="",E77="見積中",E77="失注"),"",H77-L77)</f>
        <v/>
      </c>
      <c r="N77" s="25" t="n"/>
    </row>
    <row r="78">
      <c r="A78" s="25" t="n"/>
      <c r="B78" s="25" t="n"/>
      <c r="C78" s="25" t="n"/>
      <c r="D78" s="25" t="n"/>
      <c r="E78" s="25" t="n"/>
      <c r="F78" s="29" t="n"/>
      <c r="G78" s="19">
        <f>IF(F78="","",ROUND(F78*'設定'!$C$11,0))</f>
        <v/>
      </c>
      <c r="H78" s="19">
        <f>IF(F78="","",F78+G78)</f>
        <v/>
      </c>
      <c r="I78" s="19">
        <f>IF(A78="","",SUMPRODUCT(('予算管理'!$A$6:$A$205=A78)*1,'予算管理'!$E$6:$E$205))</f>
        <v/>
      </c>
      <c r="J78" s="19">
        <f>IF(OR(A78="",F78="",E78="見積中",E78="失注"),"",F78-I78)</f>
        <v/>
      </c>
      <c r="K78" s="24">
        <f>IF(OR(J78="",N(F78)=0),"",J78/F78)</f>
        <v/>
      </c>
      <c r="L78" s="19">
        <f>IF(A78="","",SUMPRODUCT(('入出金帳'!$B$6:$B$505=A78)*1,'入出金帳'!$G$6:$G$505))</f>
        <v/>
      </c>
      <c r="M78" s="19">
        <f>IF(OR(A78="",H78="",E78="見積中",E78="失注"),"",H78-L78)</f>
        <v/>
      </c>
      <c r="N78" s="25" t="n"/>
    </row>
    <row r="79">
      <c r="A79" s="25" t="n"/>
      <c r="B79" s="25" t="n"/>
      <c r="C79" s="25" t="n"/>
      <c r="D79" s="25" t="n"/>
      <c r="E79" s="25" t="n"/>
      <c r="F79" s="29" t="n"/>
      <c r="G79" s="19">
        <f>IF(F79="","",ROUND(F79*'設定'!$C$11,0))</f>
        <v/>
      </c>
      <c r="H79" s="19">
        <f>IF(F79="","",F79+G79)</f>
        <v/>
      </c>
      <c r="I79" s="19">
        <f>IF(A79="","",SUMPRODUCT(('予算管理'!$A$6:$A$205=A79)*1,'予算管理'!$E$6:$E$205))</f>
        <v/>
      </c>
      <c r="J79" s="19">
        <f>IF(OR(A79="",F79="",E79="見積中",E79="失注"),"",F79-I79)</f>
        <v/>
      </c>
      <c r="K79" s="24">
        <f>IF(OR(J79="",N(F79)=0),"",J79/F79)</f>
        <v/>
      </c>
      <c r="L79" s="19">
        <f>IF(A79="","",SUMPRODUCT(('入出金帳'!$B$6:$B$505=A79)*1,'入出金帳'!$G$6:$G$505))</f>
        <v/>
      </c>
      <c r="M79" s="19">
        <f>IF(OR(A79="",H79="",E79="見積中",E79="失注"),"",H79-L79)</f>
        <v/>
      </c>
      <c r="N79" s="25" t="n"/>
    </row>
    <row r="80">
      <c r="A80" s="25" t="n"/>
      <c r="B80" s="25" t="n"/>
      <c r="C80" s="25" t="n"/>
      <c r="D80" s="25" t="n"/>
      <c r="E80" s="25" t="n"/>
      <c r="F80" s="29" t="n"/>
      <c r="G80" s="19">
        <f>IF(F80="","",ROUND(F80*'設定'!$C$11,0))</f>
        <v/>
      </c>
      <c r="H80" s="19">
        <f>IF(F80="","",F80+G80)</f>
        <v/>
      </c>
      <c r="I80" s="19">
        <f>IF(A80="","",SUMPRODUCT(('予算管理'!$A$6:$A$205=A80)*1,'予算管理'!$E$6:$E$205))</f>
        <v/>
      </c>
      <c r="J80" s="19">
        <f>IF(OR(A80="",F80="",E80="見積中",E80="失注"),"",F80-I80)</f>
        <v/>
      </c>
      <c r="K80" s="24">
        <f>IF(OR(J80="",N(F80)=0),"",J80/F80)</f>
        <v/>
      </c>
      <c r="L80" s="19">
        <f>IF(A80="","",SUMPRODUCT(('入出金帳'!$B$6:$B$505=A80)*1,'入出金帳'!$G$6:$G$505))</f>
        <v/>
      </c>
      <c r="M80" s="19">
        <f>IF(OR(A80="",H80="",E80="見積中",E80="失注"),"",H80-L80)</f>
        <v/>
      </c>
      <c r="N80" s="25" t="n"/>
    </row>
    <row r="81">
      <c r="A81" s="25" t="n"/>
      <c r="B81" s="25" t="n"/>
      <c r="C81" s="25" t="n"/>
      <c r="D81" s="25" t="n"/>
      <c r="E81" s="25" t="n"/>
      <c r="F81" s="29" t="n"/>
      <c r="G81" s="19">
        <f>IF(F81="","",ROUND(F81*'設定'!$C$11,0))</f>
        <v/>
      </c>
      <c r="H81" s="19">
        <f>IF(F81="","",F81+G81)</f>
        <v/>
      </c>
      <c r="I81" s="19">
        <f>IF(A81="","",SUMPRODUCT(('予算管理'!$A$6:$A$205=A81)*1,'予算管理'!$E$6:$E$205))</f>
        <v/>
      </c>
      <c r="J81" s="19">
        <f>IF(OR(A81="",F81="",E81="見積中",E81="失注"),"",F81-I81)</f>
        <v/>
      </c>
      <c r="K81" s="24">
        <f>IF(OR(J81="",N(F81)=0),"",J81/F81)</f>
        <v/>
      </c>
      <c r="L81" s="19">
        <f>IF(A81="","",SUMPRODUCT(('入出金帳'!$B$6:$B$505=A81)*1,'入出金帳'!$G$6:$G$505))</f>
        <v/>
      </c>
      <c r="M81" s="19">
        <f>IF(OR(A81="",H81="",E81="見積中",E81="失注"),"",H81-L81)</f>
        <v/>
      </c>
      <c r="N81" s="25" t="n"/>
    </row>
    <row r="82">
      <c r="A82" s="25" t="n"/>
      <c r="B82" s="25" t="n"/>
      <c r="C82" s="25" t="n"/>
      <c r="D82" s="25" t="n"/>
      <c r="E82" s="25" t="n"/>
      <c r="F82" s="29" t="n"/>
      <c r="G82" s="19">
        <f>IF(F82="","",ROUND(F82*'設定'!$C$11,0))</f>
        <v/>
      </c>
      <c r="H82" s="19">
        <f>IF(F82="","",F82+G82)</f>
        <v/>
      </c>
      <c r="I82" s="19">
        <f>IF(A82="","",SUMPRODUCT(('予算管理'!$A$6:$A$205=A82)*1,'予算管理'!$E$6:$E$205))</f>
        <v/>
      </c>
      <c r="J82" s="19">
        <f>IF(OR(A82="",F82="",E82="見積中",E82="失注"),"",F82-I82)</f>
        <v/>
      </c>
      <c r="K82" s="24">
        <f>IF(OR(J82="",N(F82)=0),"",J82/F82)</f>
        <v/>
      </c>
      <c r="L82" s="19">
        <f>IF(A82="","",SUMPRODUCT(('入出金帳'!$B$6:$B$505=A82)*1,'入出金帳'!$G$6:$G$505))</f>
        <v/>
      </c>
      <c r="M82" s="19">
        <f>IF(OR(A82="",H82="",E82="見積中",E82="失注"),"",H82-L82)</f>
        <v/>
      </c>
      <c r="N82" s="25" t="n"/>
    </row>
    <row r="83">
      <c r="A83" s="25" t="n"/>
      <c r="B83" s="25" t="n"/>
      <c r="C83" s="25" t="n"/>
      <c r="D83" s="25" t="n"/>
      <c r="E83" s="25" t="n"/>
      <c r="F83" s="29" t="n"/>
      <c r="G83" s="19">
        <f>IF(F83="","",ROUND(F83*'設定'!$C$11,0))</f>
        <v/>
      </c>
      <c r="H83" s="19">
        <f>IF(F83="","",F83+G83)</f>
        <v/>
      </c>
      <c r="I83" s="19">
        <f>IF(A83="","",SUMPRODUCT(('予算管理'!$A$6:$A$205=A83)*1,'予算管理'!$E$6:$E$205))</f>
        <v/>
      </c>
      <c r="J83" s="19">
        <f>IF(OR(A83="",F83="",E83="見積中",E83="失注"),"",F83-I83)</f>
        <v/>
      </c>
      <c r="K83" s="24">
        <f>IF(OR(J83="",N(F83)=0),"",J83/F83)</f>
        <v/>
      </c>
      <c r="L83" s="19">
        <f>IF(A83="","",SUMPRODUCT(('入出金帳'!$B$6:$B$505=A83)*1,'入出金帳'!$G$6:$G$505))</f>
        <v/>
      </c>
      <c r="M83" s="19">
        <f>IF(OR(A83="",H83="",E83="見積中",E83="失注"),"",H83-L83)</f>
        <v/>
      </c>
      <c r="N83" s="25" t="n"/>
    </row>
    <row r="84">
      <c r="A84" s="25" t="n"/>
      <c r="B84" s="25" t="n"/>
      <c r="C84" s="25" t="n"/>
      <c r="D84" s="25" t="n"/>
      <c r="E84" s="25" t="n"/>
      <c r="F84" s="29" t="n"/>
      <c r="G84" s="19">
        <f>IF(F84="","",ROUND(F84*'設定'!$C$11,0))</f>
        <v/>
      </c>
      <c r="H84" s="19">
        <f>IF(F84="","",F84+G84)</f>
        <v/>
      </c>
      <c r="I84" s="19">
        <f>IF(A84="","",SUMPRODUCT(('予算管理'!$A$6:$A$205=A84)*1,'予算管理'!$E$6:$E$205))</f>
        <v/>
      </c>
      <c r="J84" s="19">
        <f>IF(OR(A84="",F84="",E84="見積中",E84="失注"),"",F84-I84)</f>
        <v/>
      </c>
      <c r="K84" s="24">
        <f>IF(OR(J84="",N(F84)=0),"",J84/F84)</f>
        <v/>
      </c>
      <c r="L84" s="19">
        <f>IF(A84="","",SUMPRODUCT(('入出金帳'!$B$6:$B$505=A84)*1,'入出金帳'!$G$6:$G$505))</f>
        <v/>
      </c>
      <c r="M84" s="19">
        <f>IF(OR(A84="",H84="",E84="見積中",E84="失注"),"",H84-L84)</f>
        <v/>
      </c>
      <c r="N84" s="25" t="n"/>
    </row>
    <row r="85">
      <c r="A85" s="25" t="n"/>
      <c r="B85" s="25" t="n"/>
      <c r="C85" s="25" t="n"/>
      <c r="D85" s="25" t="n"/>
      <c r="E85" s="25" t="n"/>
      <c r="F85" s="29" t="n"/>
      <c r="G85" s="19">
        <f>IF(F85="","",ROUND(F85*'設定'!$C$11,0))</f>
        <v/>
      </c>
      <c r="H85" s="19">
        <f>IF(F85="","",F85+G85)</f>
        <v/>
      </c>
      <c r="I85" s="19">
        <f>IF(A85="","",SUMPRODUCT(('予算管理'!$A$6:$A$205=A85)*1,'予算管理'!$E$6:$E$205))</f>
        <v/>
      </c>
      <c r="J85" s="19">
        <f>IF(OR(A85="",F85="",E85="見積中",E85="失注"),"",F85-I85)</f>
        <v/>
      </c>
      <c r="K85" s="24">
        <f>IF(OR(J85="",N(F85)=0),"",J85/F85)</f>
        <v/>
      </c>
      <c r="L85" s="19">
        <f>IF(A85="","",SUMPRODUCT(('入出金帳'!$B$6:$B$505=A85)*1,'入出金帳'!$G$6:$G$505))</f>
        <v/>
      </c>
      <c r="M85" s="19">
        <f>IF(OR(A85="",H85="",E85="見積中",E85="失注"),"",H85-L85)</f>
        <v/>
      </c>
      <c r="N85" s="25" t="n"/>
    </row>
    <row r="86">
      <c r="A86" s="25" t="n"/>
      <c r="B86" s="25" t="n"/>
      <c r="C86" s="25" t="n"/>
      <c r="D86" s="25" t="n"/>
      <c r="E86" s="25" t="n"/>
      <c r="F86" s="29" t="n"/>
      <c r="G86" s="19">
        <f>IF(F86="","",ROUND(F86*'設定'!$C$11,0))</f>
        <v/>
      </c>
      <c r="H86" s="19">
        <f>IF(F86="","",F86+G86)</f>
        <v/>
      </c>
      <c r="I86" s="19">
        <f>IF(A86="","",SUMPRODUCT(('予算管理'!$A$6:$A$205=A86)*1,'予算管理'!$E$6:$E$205))</f>
        <v/>
      </c>
      <c r="J86" s="19">
        <f>IF(OR(A86="",F86="",E86="見積中",E86="失注"),"",F86-I86)</f>
        <v/>
      </c>
      <c r="K86" s="24">
        <f>IF(OR(J86="",N(F86)=0),"",J86/F86)</f>
        <v/>
      </c>
      <c r="L86" s="19">
        <f>IF(A86="","",SUMPRODUCT(('入出金帳'!$B$6:$B$505=A86)*1,'入出金帳'!$G$6:$G$505))</f>
        <v/>
      </c>
      <c r="M86" s="19">
        <f>IF(OR(A86="",H86="",E86="見積中",E86="失注"),"",H86-L86)</f>
        <v/>
      </c>
      <c r="N86" s="25" t="n"/>
    </row>
    <row r="87">
      <c r="A87" s="25" t="n"/>
      <c r="B87" s="25" t="n"/>
      <c r="C87" s="25" t="n"/>
      <c r="D87" s="25" t="n"/>
      <c r="E87" s="25" t="n"/>
      <c r="F87" s="29" t="n"/>
      <c r="G87" s="19">
        <f>IF(F87="","",ROUND(F87*'設定'!$C$11,0))</f>
        <v/>
      </c>
      <c r="H87" s="19">
        <f>IF(F87="","",F87+G87)</f>
        <v/>
      </c>
      <c r="I87" s="19">
        <f>IF(A87="","",SUMPRODUCT(('予算管理'!$A$6:$A$205=A87)*1,'予算管理'!$E$6:$E$205))</f>
        <v/>
      </c>
      <c r="J87" s="19">
        <f>IF(OR(A87="",F87="",E87="見積中",E87="失注"),"",F87-I87)</f>
        <v/>
      </c>
      <c r="K87" s="24">
        <f>IF(OR(J87="",N(F87)=0),"",J87/F87)</f>
        <v/>
      </c>
      <c r="L87" s="19">
        <f>IF(A87="","",SUMPRODUCT(('入出金帳'!$B$6:$B$505=A87)*1,'入出金帳'!$G$6:$G$505))</f>
        <v/>
      </c>
      <c r="M87" s="19">
        <f>IF(OR(A87="",H87="",E87="見積中",E87="失注"),"",H87-L87)</f>
        <v/>
      </c>
      <c r="N87" s="25" t="n"/>
    </row>
    <row r="88">
      <c r="A88" s="25" t="n"/>
      <c r="B88" s="25" t="n"/>
      <c r="C88" s="25" t="n"/>
      <c r="D88" s="25" t="n"/>
      <c r="E88" s="25" t="n"/>
      <c r="F88" s="29" t="n"/>
      <c r="G88" s="19">
        <f>IF(F88="","",ROUND(F88*'設定'!$C$11,0))</f>
        <v/>
      </c>
      <c r="H88" s="19">
        <f>IF(F88="","",F88+G88)</f>
        <v/>
      </c>
      <c r="I88" s="19">
        <f>IF(A88="","",SUMPRODUCT(('予算管理'!$A$6:$A$205=A88)*1,'予算管理'!$E$6:$E$205))</f>
        <v/>
      </c>
      <c r="J88" s="19">
        <f>IF(OR(A88="",F88="",E88="見積中",E88="失注"),"",F88-I88)</f>
        <v/>
      </c>
      <c r="K88" s="24">
        <f>IF(OR(J88="",N(F88)=0),"",J88/F88)</f>
        <v/>
      </c>
      <c r="L88" s="19">
        <f>IF(A88="","",SUMPRODUCT(('入出金帳'!$B$6:$B$505=A88)*1,'入出金帳'!$G$6:$G$505))</f>
        <v/>
      </c>
      <c r="M88" s="19">
        <f>IF(OR(A88="",H88="",E88="見積中",E88="失注"),"",H88-L88)</f>
        <v/>
      </c>
      <c r="N88" s="25" t="n"/>
    </row>
    <row r="89">
      <c r="A89" s="25" t="n"/>
      <c r="B89" s="25" t="n"/>
      <c r="C89" s="25" t="n"/>
      <c r="D89" s="25" t="n"/>
      <c r="E89" s="25" t="n"/>
      <c r="F89" s="29" t="n"/>
      <c r="G89" s="19">
        <f>IF(F89="","",ROUND(F89*'設定'!$C$11,0))</f>
        <v/>
      </c>
      <c r="H89" s="19">
        <f>IF(F89="","",F89+G89)</f>
        <v/>
      </c>
      <c r="I89" s="19">
        <f>IF(A89="","",SUMPRODUCT(('予算管理'!$A$6:$A$205=A89)*1,'予算管理'!$E$6:$E$205))</f>
        <v/>
      </c>
      <c r="J89" s="19">
        <f>IF(OR(A89="",F89="",E89="見積中",E89="失注"),"",F89-I89)</f>
        <v/>
      </c>
      <c r="K89" s="24">
        <f>IF(OR(J89="",N(F89)=0),"",J89/F89)</f>
        <v/>
      </c>
      <c r="L89" s="19">
        <f>IF(A89="","",SUMPRODUCT(('入出金帳'!$B$6:$B$505=A89)*1,'入出金帳'!$G$6:$G$505))</f>
        <v/>
      </c>
      <c r="M89" s="19">
        <f>IF(OR(A89="",H89="",E89="見積中",E89="失注"),"",H89-L89)</f>
        <v/>
      </c>
      <c r="N89" s="25" t="n"/>
    </row>
    <row r="90">
      <c r="A90" s="25" t="n"/>
      <c r="B90" s="25" t="n"/>
      <c r="C90" s="25" t="n"/>
      <c r="D90" s="25" t="n"/>
      <c r="E90" s="25" t="n"/>
      <c r="F90" s="29" t="n"/>
      <c r="G90" s="19">
        <f>IF(F90="","",ROUND(F90*'設定'!$C$11,0))</f>
        <v/>
      </c>
      <c r="H90" s="19">
        <f>IF(F90="","",F90+G90)</f>
        <v/>
      </c>
      <c r="I90" s="19">
        <f>IF(A90="","",SUMPRODUCT(('予算管理'!$A$6:$A$205=A90)*1,'予算管理'!$E$6:$E$205))</f>
        <v/>
      </c>
      <c r="J90" s="19">
        <f>IF(OR(A90="",F90="",E90="見積中",E90="失注"),"",F90-I90)</f>
        <v/>
      </c>
      <c r="K90" s="24">
        <f>IF(OR(J90="",N(F90)=0),"",J90/F90)</f>
        <v/>
      </c>
      <c r="L90" s="19">
        <f>IF(A90="","",SUMPRODUCT(('入出金帳'!$B$6:$B$505=A90)*1,'入出金帳'!$G$6:$G$505))</f>
        <v/>
      </c>
      <c r="M90" s="19">
        <f>IF(OR(A90="",H90="",E90="見積中",E90="失注"),"",H90-L90)</f>
        <v/>
      </c>
      <c r="N90" s="25" t="n"/>
    </row>
    <row r="91">
      <c r="A91" s="25" t="n"/>
      <c r="B91" s="25" t="n"/>
      <c r="C91" s="25" t="n"/>
      <c r="D91" s="25" t="n"/>
      <c r="E91" s="25" t="n"/>
      <c r="F91" s="29" t="n"/>
      <c r="G91" s="19">
        <f>IF(F91="","",ROUND(F91*'設定'!$C$11,0))</f>
        <v/>
      </c>
      <c r="H91" s="19">
        <f>IF(F91="","",F91+G91)</f>
        <v/>
      </c>
      <c r="I91" s="19">
        <f>IF(A91="","",SUMPRODUCT(('予算管理'!$A$6:$A$205=A91)*1,'予算管理'!$E$6:$E$205))</f>
        <v/>
      </c>
      <c r="J91" s="19">
        <f>IF(OR(A91="",F91="",E91="見積中",E91="失注"),"",F91-I91)</f>
        <v/>
      </c>
      <c r="K91" s="24">
        <f>IF(OR(J91="",N(F91)=0),"",J91/F91)</f>
        <v/>
      </c>
      <c r="L91" s="19">
        <f>IF(A91="","",SUMPRODUCT(('入出金帳'!$B$6:$B$505=A91)*1,'入出金帳'!$G$6:$G$505))</f>
        <v/>
      </c>
      <c r="M91" s="19">
        <f>IF(OR(A91="",H91="",E91="見積中",E91="失注"),"",H91-L91)</f>
        <v/>
      </c>
      <c r="N91" s="25" t="n"/>
    </row>
    <row r="92">
      <c r="A92" s="25" t="n"/>
      <c r="B92" s="25" t="n"/>
      <c r="C92" s="25" t="n"/>
      <c r="D92" s="25" t="n"/>
      <c r="E92" s="25" t="n"/>
      <c r="F92" s="29" t="n"/>
      <c r="G92" s="19">
        <f>IF(F92="","",ROUND(F92*'設定'!$C$11,0))</f>
        <v/>
      </c>
      <c r="H92" s="19">
        <f>IF(F92="","",F92+G92)</f>
        <v/>
      </c>
      <c r="I92" s="19">
        <f>IF(A92="","",SUMPRODUCT(('予算管理'!$A$6:$A$205=A92)*1,'予算管理'!$E$6:$E$205))</f>
        <v/>
      </c>
      <c r="J92" s="19">
        <f>IF(OR(A92="",F92="",E92="見積中",E92="失注"),"",F92-I92)</f>
        <v/>
      </c>
      <c r="K92" s="24">
        <f>IF(OR(J92="",N(F92)=0),"",J92/F92)</f>
        <v/>
      </c>
      <c r="L92" s="19">
        <f>IF(A92="","",SUMPRODUCT(('入出金帳'!$B$6:$B$505=A92)*1,'入出金帳'!$G$6:$G$505))</f>
        <v/>
      </c>
      <c r="M92" s="19">
        <f>IF(OR(A92="",H92="",E92="見積中",E92="失注"),"",H92-L92)</f>
        <v/>
      </c>
      <c r="N92" s="25" t="n"/>
    </row>
    <row r="93">
      <c r="A93" s="25" t="n"/>
      <c r="B93" s="25" t="n"/>
      <c r="C93" s="25" t="n"/>
      <c r="D93" s="25" t="n"/>
      <c r="E93" s="25" t="n"/>
      <c r="F93" s="29" t="n"/>
      <c r="G93" s="19">
        <f>IF(F93="","",ROUND(F93*'設定'!$C$11,0))</f>
        <v/>
      </c>
      <c r="H93" s="19">
        <f>IF(F93="","",F93+G93)</f>
        <v/>
      </c>
      <c r="I93" s="19">
        <f>IF(A93="","",SUMPRODUCT(('予算管理'!$A$6:$A$205=A93)*1,'予算管理'!$E$6:$E$205))</f>
        <v/>
      </c>
      <c r="J93" s="19">
        <f>IF(OR(A93="",F93="",E93="見積中",E93="失注"),"",F93-I93)</f>
        <v/>
      </c>
      <c r="K93" s="24">
        <f>IF(OR(J93="",N(F93)=0),"",J93/F93)</f>
        <v/>
      </c>
      <c r="L93" s="19">
        <f>IF(A93="","",SUMPRODUCT(('入出金帳'!$B$6:$B$505=A93)*1,'入出金帳'!$G$6:$G$505))</f>
        <v/>
      </c>
      <c r="M93" s="19">
        <f>IF(OR(A93="",H93="",E93="見積中",E93="失注"),"",H93-L93)</f>
        <v/>
      </c>
      <c r="N93" s="25" t="n"/>
    </row>
    <row r="94">
      <c r="A94" s="25" t="n"/>
      <c r="B94" s="25" t="n"/>
      <c r="C94" s="25" t="n"/>
      <c r="D94" s="25" t="n"/>
      <c r="E94" s="25" t="n"/>
      <c r="F94" s="29" t="n"/>
      <c r="G94" s="19">
        <f>IF(F94="","",ROUND(F94*'設定'!$C$11,0))</f>
        <v/>
      </c>
      <c r="H94" s="19">
        <f>IF(F94="","",F94+G94)</f>
        <v/>
      </c>
      <c r="I94" s="19">
        <f>IF(A94="","",SUMPRODUCT(('予算管理'!$A$6:$A$205=A94)*1,'予算管理'!$E$6:$E$205))</f>
        <v/>
      </c>
      <c r="J94" s="19">
        <f>IF(OR(A94="",F94="",E94="見積中",E94="失注"),"",F94-I94)</f>
        <v/>
      </c>
      <c r="K94" s="24">
        <f>IF(OR(J94="",N(F94)=0),"",J94/F94)</f>
        <v/>
      </c>
      <c r="L94" s="19">
        <f>IF(A94="","",SUMPRODUCT(('入出金帳'!$B$6:$B$505=A94)*1,'入出金帳'!$G$6:$G$505))</f>
        <v/>
      </c>
      <c r="M94" s="19">
        <f>IF(OR(A94="",H94="",E94="見積中",E94="失注"),"",H94-L94)</f>
        <v/>
      </c>
      <c r="N94" s="25" t="n"/>
    </row>
    <row r="95">
      <c r="A95" s="25" t="n"/>
      <c r="B95" s="25" t="n"/>
      <c r="C95" s="25" t="n"/>
      <c r="D95" s="25" t="n"/>
      <c r="E95" s="25" t="n"/>
      <c r="F95" s="29" t="n"/>
      <c r="G95" s="19">
        <f>IF(F95="","",ROUND(F95*'設定'!$C$11,0))</f>
        <v/>
      </c>
      <c r="H95" s="19">
        <f>IF(F95="","",F95+G95)</f>
        <v/>
      </c>
      <c r="I95" s="19">
        <f>IF(A95="","",SUMPRODUCT(('予算管理'!$A$6:$A$205=A95)*1,'予算管理'!$E$6:$E$205))</f>
        <v/>
      </c>
      <c r="J95" s="19">
        <f>IF(OR(A95="",F95="",E95="見積中",E95="失注"),"",F95-I95)</f>
        <v/>
      </c>
      <c r="K95" s="24">
        <f>IF(OR(J95="",N(F95)=0),"",J95/F95)</f>
        <v/>
      </c>
      <c r="L95" s="19">
        <f>IF(A95="","",SUMPRODUCT(('入出金帳'!$B$6:$B$505=A95)*1,'入出金帳'!$G$6:$G$505))</f>
        <v/>
      </c>
      <c r="M95" s="19">
        <f>IF(OR(A95="",H95="",E95="見積中",E95="失注"),"",H95-L95)</f>
        <v/>
      </c>
      <c r="N95" s="25" t="n"/>
    </row>
    <row r="96">
      <c r="A96" s="25" t="n"/>
      <c r="B96" s="25" t="n"/>
      <c r="C96" s="25" t="n"/>
      <c r="D96" s="25" t="n"/>
      <c r="E96" s="25" t="n"/>
      <c r="F96" s="29" t="n"/>
      <c r="G96" s="19">
        <f>IF(F96="","",ROUND(F96*'設定'!$C$11,0))</f>
        <v/>
      </c>
      <c r="H96" s="19">
        <f>IF(F96="","",F96+G96)</f>
        <v/>
      </c>
      <c r="I96" s="19">
        <f>IF(A96="","",SUMPRODUCT(('予算管理'!$A$6:$A$205=A96)*1,'予算管理'!$E$6:$E$205))</f>
        <v/>
      </c>
      <c r="J96" s="19">
        <f>IF(OR(A96="",F96="",E96="見積中",E96="失注"),"",F96-I96)</f>
        <v/>
      </c>
      <c r="K96" s="24">
        <f>IF(OR(J96="",N(F96)=0),"",J96/F96)</f>
        <v/>
      </c>
      <c r="L96" s="19">
        <f>IF(A96="","",SUMPRODUCT(('入出金帳'!$B$6:$B$505=A96)*1,'入出金帳'!$G$6:$G$505))</f>
        <v/>
      </c>
      <c r="M96" s="19">
        <f>IF(OR(A96="",H96="",E96="見積中",E96="失注"),"",H96-L96)</f>
        <v/>
      </c>
      <c r="N96" s="25" t="n"/>
    </row>
    <row r="97">
      <c r="A97" s="25" t="n"/>
      <c r="B97" s="25" t="n"/>
      <c r="C97" s="25" t="n"/>
      <c r="D97" s="25" t="n"/>
      <c r="E97" s="25" t="n"/>
      <c r="F97" s="29" t="n"/>
      <c r="G97" s="19">
        <f>IF(F97="","",ROUND(F97*'設定'!$C$11,0))</f>
        <v/>
      </c>
      <c r="H97" s="19">
        <f>IF(F97="","",F97+G97)</f>
        <v/>
      </c>
      <c r="I97" s="19">
        <f>IF(A97="","",SUMPRODUCT(('予算管理'!$A$6:$A$205=A97)*1,'予算管理'!$E$6:$E$205))</f>
        <v/>
      </c>
      <c r="J97" s="19">
        <f>IF(OR(A97="",F97="",E97="見積中",E97="失注"),"",F97-I97)</f>
        <v/>
      </c>
      <c r="K97" s="24">
        <f>IF(OR(J97="",N(F97)=0),"",J97/F97)</f>
        <v/>
      </c>
      <c r="L97" s="19">
        <f>IF(A97="","",SUMPRODUCT(('入出金帳'!$B$6:$B$505=A97)*1,'入出金帳'!$G$6:$G$505))</f>
        <v/>
      </c>
      <c r="M97" s="19">
        <f>IF(OR(A97="",H97="",E97="見積中",E97="失注"),"",H97-L97)</f>
        <v/>
      </c>
      <c r="N97" s="25" t="n"/>
    </row>
    <row r="98">
      <c r="A98" s="25" t="n"/>
      <c r="B98" s="25" t="n"/>
      <c r="C98" s="25" t="n"/>
      <c r="D98" s="25" t="n"/>
      <c r="E98" s="25" t="n"/>
      <c r="F98" s="29" t="n"/>
      <c r="G98" s="19">
        <f>IF(F98="","",ROUND(F98*'設定'!$C$11,0))</f>
        <v/>
      </c>
      <c r="H98" s="19">
        <f>IF(F98="","",F98+G98)</f>
        <v/>
      </c>
      <c r="I98" s="19">
        <f>IF(A98="","",SUMPRODUCT(('予算管理'!$A$6:$A$205=A98)*1,'予算管理'!$E$6:$E$205))</f>
        <v/>
      </c>
      <c r="J98" s="19">
        <f>IF(OR(A98="",F98="",E98="見積中",E98="失注"),"",F98-I98)</f>
        <v/>
      </c>
      <c r="K98" s="24">
        <f>IF(OR(J98="",N(F98)=0),"",J98/F98)</f>
        <v/>
      </c>
      <c r="L98" s="19">
        <f>IF(A98="","",SUMPRODUCT(('入出金帳'!$B$6:$B$505=A98)*1,'入出金帳'!$G$6:$G$505))</f>
        <v/>
      </c>
      <c r="M98" s="19">
        <f>IF(OR(A98="",H98="",E98="見積中",E98="失注"),"",H98-L98)</f>
        <v/>
      </c>
      <c r="N98" s="25" t="n"/>
    </row>
    <row r="99">
      <c r="A99" s="25" t="n"/>
      <c r="B99" s="25" t="n"/>
      <c r="C99" s="25" t="n"/>
      <c r="D99" s="25" t="n"/>
      <c r="E99" s="25" t="n"/>
      <c r="F99" s="29" t="n"/>
      <c r="G99" s="19">
        <f>IF(F99="","",ROUND(F99*'設定'!$C$11,0))</f>
        <v/>
      </c>
      <c r="H99" s="19">
        <f>IF(F99="","",F99+G99)</f>
        <v/>
      </c>
      <c r="I99" s="19">
        <f>IF(A99="","",SUMPRODUCT(('予算管理'!$A$6:$A$205=A99)*1,'予算管理'!$E$6:$E$205))</f>
        <v/>
      </c>
      <c r="J99" s="19">
        <f>IF(OR(A99="",F99="",E99="見積中",E99="失注"),"",F99-I99)</f>
        <v/>
      </c>
      <c r="K99" s="24">
        <f>IF(OR(J99="",N(F99)=0),"",J99/F99)</f>
        <v/>
      </c>
      <c r="L99" s="19">
        <f>IF(A99="","",SUMPRODUCT(('入出金帳'!$B$6:$B$505=A99)*1,'入出金帳'!$G$6:$G$505))</f>
        <v/>
      </c>
      <c r="M99" s="19">
        <f>IF(OR(A99="",H99="",E99="見積中",E99="失注"),"",H99-L99)</f>
        <v/>
      </c>
      <c r="N99" s="25" t="n"/>
    </row>
    <row r="100">
      <c r="A100" s="25" t="n"/>
      <c r="B100" s="25" t="n"/>
      <c r="C100" s="25" t="n"/>
      <c r="D100" s="25" t="n"/>
      <c r="E100" s="25" t="n"/>
      <c r="F100" s="29" t="n"/>
      <c r="G100" s="19">
        <f>IF(F100="","",ROUND(F100*'設定'!$C$11,0))</f>
        <v/>
      </c>
      <c r="H100" s="19">
        <f>IF(F100="","",F100+G100)</f>
        <v/>
      </c>
      <c r="I100" s="19">
        <f>IF(A100="","",SUMPRODUCT(('予算管理'!$A$6:$A$205=A100)*1,'予算管理'!$E$6:$E$205))</f>
        <v/>
      </c>
      <c r="J100" s="19">
        <f>IF(OR(A100="",F100="",E100="見積中",E100="失注"),"",F100-I100)</f>
        <v/>
      </c>
      <c r="K100" s="24">
        <f>IF(OR(J100="",N(F100)=0),"",J100/F100)</f>
        <v/>
      </c>
      <c r="L100" s="19">
        <f>IF(A100="","",SUMPRODUCT(('入出金帳'!$B$6:$B$505=A100)*1,'入出金帳'!$G$6:$G$505))</f>
        <v/>
      </c>
      <c r="M100" s="19">
        <f>IF(OR(A100="",H100="",E100="見積中",E100="失注"),"",H100-L100)</f>
        <v/>
      </c>
      <c r="N100" s="25" t="n"/>
    </row>
    <row r="101">
      <c r="A101" s="25" t="n"/>
      <c r="B101" s="25" t="n"/>
      <c r="C101" s="25" t="n"/>
      <c r="D101" s="25" t="n"/>
      <c r="E101" s="25" t="n"/>
      <c r="F101" s="29" t="n"/>
      <c r="G101" s="19">
        <f>IF(F101="","",ROUND(F101*'設定'!$C$11,0))</f>
        <v/>
      </c>
      <c r="H101" s="19">
        <f>IF(F101="","",F101+G101)</f>
        <v/>
      </c>
      <c r="I101" s="19">
        <f>IF(A101="","",SUMPRODUCT(('予算管理'!$A$6:$A$205=A101)*1,'予算管理'!$E$6:$E$205))</f>
        <v/>
      </c>
      <c r="J101" s="19">
        <f>IF(OR(A101="",F101="",E101="見積中",E101="失注"),"",F101-I101)</f>
        <v/>
      </c>
      <c r="K101" s="24">
        <f>IF(OR(J101="",N(F101)=0),"",J101/F101)</f>
        <v/>
      </c>
      <c r="L101" s="19">
        <f>IF(A101="","",SUMPRODUCT(('入出金帳'!$B$6:$B$505=A101)*1,'入出金帳'!$G$6:$G$505))</f>
        <v/>
      </c>
      <c r="M101" s="19">
        <f>IF(OR(A101="",H101="",E101="見積中",E101="失注"),"",H101-L101)</f>
        <v/>
      </c>
      <c r="N101" s="25" t="n"/>
    </row>
    <row r="102">
      <c r="A102" s="25" t="n"/>
      <c r="B102" s="25" t="n"/>
      <c r="C102" s="25" t="n"/>
      <c r="D102" s="25" t="n"/>
      <c r="E102" s="25" t="n"/>
      <c r="F102" s="29" t="n"/>
      <c r="G102" s="19">
        <f>IF(F102="","",ROUND(F102*'設定'!$C$11,0))</f>
        <v/>
      </c>
      <c r="H102" s="19">
        <f>IF(F102="","",F102+G102)</f>
        <v/>
      </c>
      <c r="I102" s="19">
        <f>IF(A102="","",SUMPRODUCT(('予算管理'!$A$6:$A$205=A102)*1,'予算管理'!$E$6:$E$205))</f>
        <v/>
      </c>
      <c r="J102" s="19">
        <f>IF(OR(A102="",F102="",E102="見積中",E102="失注"),"",F102-I102)</f>
        <v/>
      </c>
      <c r="K102" s="24">
        <f>IF(OR(J102="",N(F102)=0),"",J102/F102)</f>
        <v/>
      </c>
      <c r="L102" s="19">
        <f>IF(A102="","",SUMPRODUCT(('入出金帳'!$B$6:$B$505=A102)*1,'入出金帳'!$G$6:$G$505))</f>
        <v/>
      </c>
      <c r="M102" s="19">
        <f>IF(OR(A102="",H102="",E102="見積中",E102="失注"),"",H102-L102)</f>
        <v/>
      </c>
      <c r="N102" s="25" t="n"/>
    </row>
    <row r="103">
      <c r="A103" s="25" t="n"/>
      <c r="B103" s="25" t="n"/>
      <c r="C103" s="25" t="n"/>
      <c r="D103" s="25" t="n"/>
      <c r="E103" s="25" t="n"/>
      <c r="F103" s="29" t="n"/>
      <c r="G103" s="19">
        <f>IF(F103="","",ROUND(F103*'設定'!$C$11,0))</f>
        <v/>
      </c>
      <c r="H103" s="19">
        <f>IF(F103="","",F103+G103)</f>
        <v/>
      </c>
      <c r="I103" s="19">
        <f>IF(A103="","",SUMPRODUCT(('予算管理'!$A$6:$A$205=A103)*1,'予算管理'!$E$6:$E$205))</f>
        <v/>
      </c>
      <c r="J103" s="19">
        <f>IF(OR(A103="",F103="",E103="見積中",E103="失注"),"",F103-I103)</f>
        <v/>
      </c>
      <c r="K103" s="24">
        <f>IF(OR(J103="",N(F103)=0),"",J103/F103)</f>
        <v/>
      </c>
      <c r="L103" s="19">
        <f>IF(A103="","",SUMPRODUCT(('入出金帳'!$B$6:$B$505=A103)*1,'入出金帳'!$G$6:$G$505))</f>
        <v/>
      </c>
      <c r="M103" s="19">
        <f>IF(OR(A103="",H103="",E103="見積中",E103="失注"),"",H103-L103)</f>
        <v/>
      </c>
      <c r="N103" s="25" t="n"/>
    </row>
    <row r="104">
      <c r="A104" s="25" t="n"/>
      <c r="B104" s="25" t="n"/>
      <c r="C104" s="25" t="n"/>
      <c r="D104" s="25" t="n"/>
      <c r="E104" s="25" t="n"/>
      <c r="F104" s="29" t="n"/>
      <c r="G104" s="19">
        <f>IF(F104="","",ROUND(F104*'設定'!$C$11,0))</f>
        <v/>
      </c>
      <c r="H104" s="19">
        <f>IF(F104="","",F104+G104)</f>
        <v/>
      </c>
      <c r="I104" s="19">
        <f>IF(A104="","",SUMPRODUCT(('予算管理'!$A$6:$A$205=A104)*1,'予算管理'!$E$6:$E$205))</f>
        <v/>
      </c>
      <c r="J104" s="19">
        <f>IF(OR(A104="",F104="",E104="見積中",E104="失注"),"",F104-I104)</f>
        <v/>
      </c>
      <c r="K104" s="24">
        <f>IF(OR(J104="",N(F104)=0),"",J104/F104)</f>
        <v/>
      </c>
      <c r="L104" s="19">
        <f>IF(A104="","",SUMPRODUCT(('入出金帳'!$B$6:$B$505=A104)*1,'入出金帳'!$G$6:$G$505))</f>
        <v/>
      </c>
      <c r="M104" s="19">
        <f>IF(OR(A104="",H104="",E104="見積中",E104="失注"),"",H104-L104)</f>
        <v/>
      </c>
      <c r="N104" s="25" t="n"/>
    </row>
    <row r="105">
      <c r="A105" s="25" t="n"/>
      <c r="B105" s="25" t="n"/>
      <c r="C105" s="25" t="n"/>
      <c r="D105" s="25" t="n"/>
      <c r="E105" s="25" t="n"/>
      <c r="F105" s="29" t="n"/>
      <c r="G105" s="19">
        <f>IF(F105="","",ROUND(F105*'設定'!$C$11,0))</f>
        <v/>
      </c>
      <c r="H105" s="19">
        <f>IF(F105="","",F105+G105)</f>
        <v/>
      </c>
      <c r="I105" s="19">
        <f>IF(A105="","",SUMPRODUCT(('予算管理'!$A$6:$A$205=A105)*1,'予算管理'!$E$6:$E$205))</f>
        <v/>
      </c>
      <c r="J105" s="19">
        <f>IF(OR(A105="",F105="",E105="見積中",E105="失注"),"",F105-I105)</f>
        <v/>
      </c>
      <c r="K105" s="24">
        <f>IF(OR(J105="",N(F105)=0),"",J105/F105)</f>
        <v/>
      </c>
      <c r="L105" s="19">
        <f>IF(A105="","",SUMPRODUCT(('入出金帳'!$B$6:$B$505=A105)*1,'入出金帳'!$G$6:$G$505))</f>
        <v/>
      </c>
      <c r="M105" s="19">
        <f>IF(OR(A105="",H105="",E105="見積中",E105="失注"),"",H105-L105)</f>
        <v/>
      </c>
      <c r="N105" s="25" t="n"/>
    </row>
  </sheetData>
  <autoFilter ref="A5:N105"/>
  <mergeCells count="1">
    <mergeCell ref="A3:E3"/>
  </mergeCells>
  <conditionalFormatting sqref="E6:E105">
    <cfRule type="expression" priority="1" dxfId="1">
      <formula>$E6="入金済み"</formula>
    </cfRule>
    <cfRule type="expression" priority="2" dxfId="2">
      <formula>$E6="施工中"</formula>
    </cfRule>
    <cfRule type="expression" priority="3" dxfId="3">
      <formula>$E6="失注"</formula>
    </cfRule>
  </conditionalFormatting>
  <conditionalFormatting sqref="M6:M105">
    <cfRule type="expression" priority="4" dxfId="4">
      <formula>AND(ISNUMBER($M6),$M6&gt;0,OR($E6="完工",$E6="入金済み"))</formula>
    </cfRule>
  </conditionalFormatting>
  <dataValidations count="1">
    <dataValidation sqref="E6:E105" showDropDown="0" showInputMessage="0" showErrorMessage="1" allowBlank="1" error="リストから選んでください" type="list">
      <formula1>'設定'!$B$19:$B$38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H5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38" customWidth="1" min="3" max="3"/>
    <col width="9" customWidth="1" min="4" max="4"/>
    <col width="7" customWidth="1" min="5" max="5"/>
    <col width="13" customWidth="1" min="6" max="6"/>
    <col width="16" customWidth="1" min="7" max="7"/>
    <col width="18" customWidth="1" min="8" max="8"/>
  </cols>
  <sheetData>
    <row r="1" ht="40" customHeight="1">
      <c r="A1" s="32" t="inlineStr">
        <is>
          <t>御　見　積　書</t>
        </is>
      </c>
    </row>
    <row r="3">
      <c r="A3" s="21" t="inlineStr">
        <is>
          <t>案件No</t>
        </is>
      </c>
      <c r="B3" s="33" t="inlineStr">
        <is>
          <t>2610-02</t>
        </is>
      </c>
      <c r="F3" s="21" t="inlineStr">
        <is>
          <t>見積番号</t>
        </is>
      </c>
      <c r="G3" s="23">
        <f>IF(B3="","",B3&amp;"-E")</f>
        <v/>
      </c>
      <c r="H3" s="17" t="n"/>
    </row>
    <row r="4">
      <c r="A4" s="21" t="inlineStr">
        <is>
          <t>宛名</t>
        </is>
      </c>
      <c r="B4" s="34">
        <f>IF(B3="","",IF(B3="","",IFERROR(INDEX('案件台帳'!$C$6:$C$105,MATCH(B3,'案件台帳'!$A$6:$A$105,0)),""))&amp;" 御中")</f>
        <v/>
      </c>
      <c r="C4" s="17" t="n"/>
      <c r="D4" s="17" t="n"/>
      <c r="F4" s="21" t="inlineStr">
        <is>
          <t>見積日</t>
        </is>
      </c>
      <c r="G4" s="35" t="n">
        <v>46296</v>
      </c>
      <c r="H4" s="25" t="n"/>
    </row>
    <row r="5">
      <c r="A5" s="21" t="inlineStr">
        <is>
          <t>件名</t>
        </is>
      </c>
      <c r="B5" s="17">
        <f>IF(B3="","",IFERROR(INDEX('案件台帳'!$B$6:$B$105,MATCH(B3,'案件台帳'!$A$6:$A$105,0)),""))</f>
        <v/>
      </c>
      <c r="C5" s="17" t="n"/>
      <c r="D5" s="17" t="n"/>
      <c r="F5" s="21" t="inlineStr">
        <is>
          <t>有効期限</t>
        </is>
      </c>
      <c r="G5" s="36">
        <f>IF(G4="","",G4+'設定'!$C$13)</f>
        <v/>
      </c>
      <c r="H5" s="17" t="n"/>
    </row>
    <row r="6">
      <c r="A6" s="21" t="inlineStr">
        <is>
          <t>現場</t>
        </is>
      </c>
      <c r="B6" s="17">
        <f>IF(B3="","",IFERROR(INDEX('案件台帳'!$D$6:$D$105,MATCH(B3,'案件台帳'!$A$6:$A$105,0)),""))</f>
        <v/>
      </c>
      <c r="C6" s="17" t="n"/>
      <c r="D6" s="17" t="n"/>
    </row>
    <row r="8">
      <c r="A8" s="21" t="inlineStr">
        <is>
          <t>お見積金額（税込）</t>
        </is>
      </c>
      <c r="B8" s="37" t="n"/>
      <c r="C8" s="38">
        <f>IF(G45=0,"",G47)</f>
        <v/>
      </c>
      <c r="D8" s="17" t="n"/>
      <c r="F8" s="39">
        <f>'設定'!C4</f>
        <v/>
      </c>
    </row>
    <row r="9">
      <c r="F9" s="40">
        <f>IF('設定'!C6="","","〒"&amp;'設定'!C6&amp;" ")&amp;'設定'!C7</f>
        <v/>
      </c>
    </row>
    <row r="10">
      <c r="F10" s="40">
        <f>IF('設定'!C8="","","TEL "&amp;'設定'!C8)</f>
        <v/>
      </c>
    </row>
    <row r="11">
      <c r="F11" s="40">
        <f>IF('設定'!C9="","","登録番号 "&amp;'設定'!C9)</f>
        <v/>
      </c>
    </row>
    <row r="12">
      <c r="F12" s="40">
        <f>'設定'!C5</f>
        <v/>
      </c>
    </row>
    <row r="14" ht="30" customHeight="1">
      <c r="A14" s="13" t="inlineStr">
        <is>
          <t>No</t>
        </is>
      </c>
      <c r="B14" s="13" t="inlineStr">
        <is>
          <t>工種</t>
        </is>
      </c>
      <c r="C14" s="13" t="inlineStr">
        <is>
          <t>品名・仕様</t>
        </is>
      </c>
      <c r="D14" s="13" t="inlineStr">
        <is>
          <t>数量</t>
        </is>
      </c>
      <c r="E14" s="13" t="inlineStr">
        <is>
          <t>単位</t>
        </is>
      </c>
      <c r="F14" s="13" t="inlineStr">
        <is>
          <t>単価</t>
        </is>
      </c>
      <c r="G14" s="13" t="inlineStr">
        <is>
          <t>金額</t>
        </is>
      </c>
      <c r="H14" s="13" t="inlineStr">
        <is>
          <t>備考</t>
        </is>
      </c>
    </row>
    <row r="15">
      <c r="A15" s="23">
        <f>IF(C15="","",1)</f>
        <v/>
      </c>
      <c r="B15" s="25" t="inlineStr">
        <is>
          <t>解体</t>
        </is>
      </c>
      <c r="C15" s="25" t="inlineStr">
        <is>
          <t>既存内装解体・処分</t>
        </is>
      </c>
      <c r="D15" s="25" t="n">
        <v>1</v>
      </c>
      <c r="E15" s="25" t="inlineStr">
        <is>
          <t>式</t>
        </is>
      </c>
      <c r="F15" s="41" t="n">
        <v>350000</v>
      </c>
      <c r="G15" s="42">
        <f>IF(OR(D15="",F15=""),"",ROUND(D15*F15,0))</f>
        <v/>
      </c>
      <c r="H15" s="25" t="n"/>
    </row>
    <row r="16">
      <c r="A16" s="23">
        <f>IF(C16="","",2)</f>
        <v/>
      </c>
      <c r="B16" s="25" t="inlineStr">
        <is>
          <t>内装</t>
        </is>
      </c>
      <c r="C16" s="25" t="inlineStr">
        <is>
          <t>軽量鉄骨下地・ボード張り</t>
        </is>
      </c>
      <c r="D16" s="25" t="n">
        <v>85</v>
      </c>
      <c r="E16" s="25" t="inlineStr">
        <is>
          <t>㎡</t>
        </is>
      </c>
      <c r="F16" s="41" t="n">
        <v>6500</v>
      </c>
      <c r="G16" s="42">
        <f>IF(OR(D16="",F16=""),"",ROUND(D16*F16,0))</f>
        <v/>
      </c>
      <c r="H16" s="25" t="n"/>
    </row>
    <row r="17">
      <c r="A17" s="23">
        <f>IF(C17="","",3)</f>
        <v/>
      </c>
      <c r="B17" s="25" t="inlineStr">
        <is>
          <t>内装</t>
        </is>
      </c>
      <c r="C17" s="25" t="inlineStr">
        <is>
          <t>クロス張り</t>
        </is>
      </c>
      <c r="D17" s="25" t="n">
        <v>210</v>
      </c>
      <c r="E17" s="25" t="inlineStr">
        <is>
          <t>㎡</t>
        </is>
      </c>
      <c r="F17" s="41" t="n">
        <v>1800</v>
      </c>
      <c r="G17" s="42">
        <f>IF(OR(D17="",F17=""),"",ROUND(D17*F17,0))</f>
        <v/>
      </c>
      <c r="H17" s="25" t="n"/>
    </row>
    <row r="18">
      <c r="A18" s="23">
        <f>IF(C18="","",4)</f>
        <v/>
      </c>
      <c r="B18" s="25" t="inlineStr">
        <is>
          <t>内装</t>
        </is>
      </c>
      <c r="C18" s="25" t="inlineStr">
        <is>
          <t>床 長尺シート張り</t>
        </is>
      </c>
      <c r="D18" s="25" t="n">
        <v>60</v>
      </c>
      <c r="E18" s="25" t="inlineStr">
        <is>
          <t>㎡</t>
        </is>
      </c>
      <c r="F18" s="41" t="n">
        <v>5500</v>
      </c>
      <c r="G18" s="42">
        <f>IF(OR(D18="",F18=""),"",ROUND(D18*F18,0))</f>
        <v/>
      </c>
      <c r="H18" s="25" t="n"/>
    </row>
    <row r="19">
      <c r="A19" s="23">
        <f>IF(C19="","",5)</f>
        <v/>
      </c>
      <c r="B19" s="25" t="inlineStr">
        <is>
          <t>電気</t>
        </is>
      </c>
      <c r="C19" s="25" t="inlineStr">
        <is>
          <t>照明・コンセント工事</t>
        </is>
      </c>
      <c r="D19" s="25" t="n">
        <v>1</v>
      </c>
      <c r="E19" s="25" t="inlineStr">
        <is>
          <t>式</t>
        </is>
      </c>
      <c r="F19" s="41" t="n">
        <v>780000</v>
      </c>
      <c r="G19" s="42">
        <f>IF(OR(D19="",F19=""),"",ROUND(D19*F19,0))</f>
        <v/>
      </c>
      <c r="H19" s="25" t="n"/>
    </row>
    <row r="20">
      <c r="A20" s="23">
        <f>IF(C20="","",6)</f>
        <v/>
      </c>
      <c r="B20" s="25" t="inlineStr">
        <is>
          <t>諸経費</t>
        </is>
      </c>
      <c r="C20" s="25" t="inlineStr">
        <is>
          <t>現場管理費・諸経費</t>
        </is>
      </c>
      <c r="D20" s="25" t="n">
        <v>1</v>
      </c>
      <c r="E20" s="25" t="inlineStr">
        <is>
          <t>式</t>
        </is>
      </c>
      <c r="F20" s="41" t="n">
        <v>1109500</v>
      </c>
      <c r="G20" s="42">
        <f>IF(OR(D20="",F20=""),"",ROUND(D20*F20,0))</f>
        <v/>
      </c>
      <c r="H20" s="25" t="n"/>
    </row>
    <row r="21">
      <c r="A21" s="23">
        <f>IF(C21="","",7)</f>
        <v/>
      </c>
      <c r="B21" s="25" t="n"/>
      <c r="C21" s="25" t="n"/>
      <c r="D21" s="25" t="n"/>
      <c r="E21" s="25" t="n"/>
      <c r="F21" s="41" t="n"/>
      <c r="G21" s="42">
        <f>IF(OR(D21="",F21=""),"",ROUND(D21*F21,0))</f>
        <v/>
      </c>
      <c r="H21" s="25" t="n"/>
    </row>
    <row r="22">
      <c r="A22" s="23">
        <f>IF(C22="","",8)</f>
        <v/>
      </c>
      <c r="B22" s="25" t="n"/>
      <c r="C22" s="25" t="n"/>
      <c r="D22" s="25" t="n"/>
      <c r="E22" s="25" t="n"/>
      <c r="F22" s="41" t="n"/>
      <c r="G22" s="42">
        <f>IF(OR(D22="",F22=""),"",ROUND(D22*F22,0))</f>
        <v/>
      </c>
      <c r="H22" s="25" t="n"/>
    </row>
    <row r="23">
      <c r="A23" s="23">
        <f>IF(C23="","",9)</f>
        <v/>
      </c>
      <c r="B23" s="25" t="n"/>
      <c r="C23" s="25" t="n"/>
      <c r="D23" s="25" t="n"/>
      <c r="E23" s="25" t="n"/>
      <c r="F23" s="41" t="n"/>
      <c r="G23" s="42">
        <f>IF(OR(D23="",F23=""),"",ROUND(D23*F23,0))</f>
        <v/>
      </c>
      <c r="H23" s="25" t="n"/>
    </row>
    <row r="24">
      <c r="A24" s="23">
        <f>IF(C24="","",10)</f>
        <v/>
      </c>
      <c r="B24" s="25" t="n"/>
      <c r="C24" s="25" t="n"/>
      <c r="D24" s="25" t="n"/>
      <c r="E24" s="25" t="n"/>
      <c r="F24" s="41" t="n"/>
      <c r="G24" s="42">
        <f>IF(OR(D24="",F24=""),"",ROUND(D24*F24,0))</f>
        <v/>
      </c>
      <c r="H24" s="25" t="n"/>
    </row>
    <row r="25">
      <c r="A25" s="23">
        <f>IF(C25="","",11)</f>
        <v/>
      </c>
      <c r="B25" s="25" t="n"/>
      <c r="C25" s="25" t="n"/>
      <c r="D25" s="25" t="n"/>
      <c r="E25" s="25" t="n"/>
      <c r="F25" s="41" t="n"/>
      <c r="G25" s="42">
        <f>IF(OR(D25="",F25=""),"",ROUND(D25*F25,0))</f>
        <v/>
      </c>
      <c r="H25" s="25" t="n"/>
    </row>
    <row r="26">
      <c r="A26" s="23">
        <f>IF(C26="","",12)</f>
        <v/>
      </c>
      <c r="B26" s="25" t="n"/>
      <c r="C26" s="25" t="n"/>
      <c r="D26" s="25" t="n"/>
      <c r="E26" s="25" t="n"/>
      <c r="F26" s="41" t="n"/>
      <c r="G26" s="42">
        <f>IF(OR(D26="",F26=""),"",ROUND(D26*F26,0))</f>
        <v/>
      </c>
      <c r="H26" s="25" t="n"/>
    </row>
    <row r="27">
      <c r="A27" s="23">
        <f>IF(C27="","",13)</f>
        <v/>
      </c>
      <c r="B27" s="25" t="n"/>
      <c r="C27" s="25" t="n"/>
      <c r="D27" s="25" t="n"/>
      <c r="E27" s="25" t="n"/>
      <c r="F27" s="41" t="n"/>
      <c r="G27" s="42">
        <f>IF(OR(D27="",F27=""),"",ROUND(D27*F27,0))</f>
        <v/>
      </c>
      <c r="H27" s="25" t="n"/>
    </row>
    <row r="28">
      <c r="A28" s="23">
        <f>IF(C28="","",14)</f>
        <v/>
      </c>
      <c r="B28" s="25" t="n"/>
      <c r="C28" s="25" t="n"/>
      <c r="D28" s="25" t="n"/>
      <c r="E28" s="25" t="n"/>
      <c r="F28" s="41" t="n"/>
      <c r="G28" s="42">
        <f>IF(OR(D28="",F28=""),"",ROUND(D28*F28,0))</f>
        <v/>
      </c>
      <c r="H28" s="25" t="n"/>
    </row>
    <row r="29">
      <c r="A29" s="23">
        <f>IF(C29="","",15)</f>
        <v/>
      </c>
      <c r="B29" s="25" t="n"/>
      <c r="C29" s="25" t="n"/>
      <c r="D29" s="25" t="n"/>
      <c r="E29" s="25" t="n"/>
      <c r="F29" s="41" t="n"/>
      <c r="G29" s="42">
        <f>IF(OR(D29="",F29=""),"",ROUND(D29*F29,0))</f>
        <v/>
      </c>
      <c r="H29" s="25" t="n"/>
    </row>
    <row r="30">
      <c r="A30" s="23">
        <f>IF(C30="","",16)</f>
        <v/>
      </c>
      <c r="B30" s="25" t="n"/>
      <c r="C30" s="25" t="n"/>
      <c r="D30" s="25" t="n"/>
      <c r="E30" s="25" t="n"/>
      <c r="F30" s="41" t="n"/>
      <c r="G30" s="42">
        <f>IF(OR(D30="",F30=""),"",ROUND(D30*F30,0))</f>
        <v/>
      </c>
      <c r="H30" s="25" t="n"/>
    </row>
    <row r="31">
      <c r="A31" s="23">
        <f>IF(C31="","",17)</f>
        <v/>
      </c>
      <c r="B31" s="25" t="n"/>
      <c r="C31" s="25" t="n"/>
      <c r="D31" s="25" t="n"/>
      <c r="E31" s="25" t="n"/>
      <c r="F31" s="41" t="n"/>
      <c r="G31" s="42">
        <f>IF(OR(D31="",F31=""),"",ROUND(D31*F31,0))</f>
        <v/>
      </c>
      <c r="H31" s="25" t="n"/>
    </row>
    <row r="32">
      <c r="A32" s="23">
        <f>IF(C32="","",18)</f>
        <v/>
      </c>
      <c r="B32" s="25" t="n"/>
      <c r="C32" s="25" t="n"/>
      <c r="D32" s="25" t="n"/>
      <c r="E32" s="25" t="n"/>
      <c r="F32" s="41" t="n"/>
      <c r="G32" s="42">
        <f>IF(OR(D32="",F32=""),"",ROUND(D32*F32,0))</f>
        <v/>
      </c>
      <c r="H32" s="25" t="n"/>
    </row>
    <row r="33">
      <c r="A33" s="23">
        <f>IF(C33="","",19)</f>
        <v/>
      </c>
      <c r="B33" s="25" t="n"/>
      <c r="C33" s="25" t="n"/>
      <c r="D33" s="25" t="n"/>
      <c r="E33" s="25" t="n"/>
      <c r="F33" s="41" t="n"/>
      <c r="G33" s="42">
        <f>IF(OR(D33="",F33=""),"",ROUND(D33*F33,0))</f>
        <v/>
      </c>
      <c r="H33" s="25" t="n"/>
    </row>
    <row r="34">
      <c r="A34" s="23">
        <f>IF(C34="","",20)</f>
        <v/>
      </c>
      <c r="B34" s="25" t="n"/>
      <c r="C34" s="25" t="n"/>
      <c r="D34" s="25" t="n"/>
      <c r="E34" s="25" t="n"/>
      <c r="F34" s="41" t="n"/>
      <c r="G34" s="42">
        <f>IF(OR(D34="",F34=""),"",ROUND(D34*F34,0))</f>
        <v/>
      </c>
      <c r="H34" s="25" t="n"/>
    </row>
    <row r="35">
      <c r="A35" s="23">
        <f>IF(C35="","",21)</f>
        <v/>
      </c>
      <c r="B35" s="25" t="n"/>
      <c r="C35" s="25" t="n"/>
      <c r="D35" s="25" t="n"/>
      <c r="E35" s="25" t="n"/>
      <c r="F35" s="41" t="n"/>
      <c r="G35" s="42">
        <f>IF(OR(D35="",F35=""),"",ROUND(D35*F35,0))</f>
        <v/>
      </c>
      <c r="H35" s="25" t="n"/>
    </row>
    <row r="36">
      <c r="A36" s="23">
        <f>IF(C36="","",22)</f>
        <v/>
      </c>
      <c r="B36" s="25" t="n"/>
      <c r="C36" s="25" t="n"/>
      <c r="D36" s="25" t="n"/>
      <c r="E36" s="25" t="n"/>
      <c r="F36" s="41" t="n"/>
      <c r="G36" s="42">
        <f>IF(OR(D36="",F36=""),"",ROUND(D36*F36,0))</f>
        <v/>
      </c>
      <c r="H36" s="25" t="n"/>
    </row>
    <row r="37">
      <c r="A37" s="23">
        <f>IF(C37="","",23)</f>
        <v/>
      </c>
      <c r="B37" s="25" t="n"/>
      <c r="C37" s="25" t="n"/>
      <c r="D37" s="25" t="n"/>
      <c r="E37" s="25" t="n"/>
      <c r="F37" s="41" t="n"/>
      <c r="G37" s="42">
        <f>IF(OR(D37="",F37=""),"",ROUND(D37*F37,0))</f>
        <v/>
      </c>
      <c r="H37" s="25" t="n"/>
    </row>
    <row r="38">
      <c r="A38" s="23">
        <f>IF(C38="","",24)</f>
        <v/>
      </c>
      <c r="B38" s="25" t="n"/>
      <c r="C38" s="25" t="n"/>
      <c r="D38" s="25" t="n"/>
      <c r="E38" s="25" t="n"/>
      <c r="F38" s="41" t="n"/>
      <c r="G38" s="42">
        <f>IF(OR(D38="",F38=""),"",ROUND(D38*F38,0))</f>
        <v/>
      </c>
      <c r="H38" s="25" t="n"/>
    </row>
    <row r="39">
      <c r="A39" s="23">
        <f>IF(C39="","",25)</f>
        <v/>
      </c>
      <c r="B39" s="25" t="n"/>
      <c r="C39" s="25" t="n"/>
      <c r="D39" s="25" t="n"/>
      <c r="E39" s="25" t="n"/>
      <c r="F39" s="41" t="n"/>
      <c r="G39" s="42">
        <f>IF(OR(D39="",F39=""),"",ROUND(D39*F39,0))</f>
        <v/>
      </c>
      <c r="H39" s="25" t="n"/>
    </row>
    <row r="40">
      <c r="A40" s="23">
        <f>IF(C40="","",26)</f>
        <v/>
      </c>
      <c r="B40" s="25" t="n"/>
      <c r="C40" s="25" t="n"/>
      <c r="D40" s="25" t="n"/>
      <c r="E40" s="25" t="n"/>
      <c r="F40" s="41" t="n"/>
      <c r="G40" s="42">
        <f>IF(OR(D40="",F40=""),"",ROUND(D40*F40,0))</f>
        <v/>
      </c>
      <c r="H40" s="25" t="n"/>
    </row>
    <row r="41">
      <c r="A41" s="23">
        <f>IF(C41="","",27)</f>
        <v/>
      </c>
      <c r="B41" s="25" t="n"/>
      <c r="C41" s="25" t="n"/>
      <c r="D41" s="25" t="n"/>
      <c r="E41" s="25" t="n"/>
      <c r="F41" s="41" t="n"/>
      <c r="G41" s="42">
        <f>IF(OR(D41="",F41=""),"",ROUND(D41*F41,0))</f>
        <v/>
      </c>
      <c r="H41" s="25" t="n"/>
    </row>
    <row r="42">
      <c r="A42" s="23">
        <f>IF(C42="","",28)</f>
        <v/>
      </c>
      <c r="B42" s="25" t="n"/>
      <c r="C42" s="25" t="n"/>
      <c r="D42" s="25" t="n"/>
      <c r="E42" s="25" t="n"/>
      <c r="F42" s="41" t="n"/>
      <c r="G42" s="42">
        <f>IF(OR(D42="",F42=""),"",ROUND(D42*F42,0))</f>
        <v/>
      </c>
      <c r="H42" s="25" t="n"/>
    </row>
    <row r="43">
      <c r="A43" s="23">
        <f>IF(C43="","",29)</f>
        <v/>
      </c>
      <c r="B43" s="25" t="n"/>
      <c r="C43" s="25" t="n"/>
      <c r="D43" s="25" t="n"/>
      <c r="E43" s="25" t="n"/>
      <c r="F43" s="41" t="n"/>
      <c r="G43" s="42">
        <f>IF(OR(D43="",F43=""),"",ROUND(D43*F43,0))</f>
        <v/>
      </c>
      <c r="H43" s="25" t="n"/>
    </row>
    <row r="44">
      <c r="A44" s="23">
        <f>IF(C44="","",30)</f>
        <v/>
      </c>
      <c r="B44" s="25" t="n"/>
      <c r="C44" s="25" t="n"/>
      <c r="D44" s="25" t="n"/>
      <c r="E44" s="25" t="n"/>
      <c r="F44" s="41" t="n"/>
      <c r="G44" s="42">
        <f>IF(OR(D44="",F44=""),"",ROUND(D44*F44,0))</f>
        <v/>
      </c>
      <c r="H44" s="25" t="n"/>
    </row>
    <row r="45">
      <c r="A45" s="30" t="inlineStr">
        <is>
          <t>小計（税抜）</t>
        </is>
      </c>
      <c r="G45" s="22">
        <f>SUM(G15:G44)</f>
        <v/>
      </c>
    </row>
    <row r="46">
      <c r="A46" s="30" t="inlineStr">
        <is>
          <t>消費税</t>
        </is>
      </c>
      <c r="G46" s="22">
        <f>ROUND(G45*'設定'!$C$11,0)</f>
        <v/>
      </c>
    </row>
    <row r="47">
      <c r="A47" s="30" t="inlineStr">
        <is>
          <t>合計（税込）</t>
        </is>
      </c>
      <c r="G47" s="43">
        <f>G45+G46</f>
        <v/>
      </c>
    </row>
    <row r="49">
      <c r="A49" s="21" t="inlineStr">
        <is>
          <t>備考</t>
        </is>
      </c>
      <c r="B49" s="44" t="inlineStr">
        <is>
          <t>お支払条件・工期・有効期限などをここに記入</t>
        </is>
      </c>
    </row>
    <row r="50"/>
    <row r="51"/>
    <row r="52"/>
  </sheetData>
  <mergeCells count="18">
    <mergeCell ref="G4:H4"/>
    <mergeCell ref="F10:H10"/>
    <mergeCell ref="F11:H11"/>
    <mergeCell ref="B5:D5"/>
    <mergeCell ref="A47:F47"/>
    <mergeCell ref="A46:F46"/>
    <mergeCell ref="B49:H52"/>
    <mergeCell ref="A45:F45"/>
    <mergeCell ref="B4:D4"/>
    <mergeCell ref="G5:H5"/>
    <mergeCell ref="F8:H8"/>
    <mergeCell ref="F9:H9"/>
    <mergeCell ref="A1:H1"/>
    <mergeCell ref="F12:H12"/>
    <mergeCell ref="A8:B8"/>
    <mergeCell ref="B6:D6"/>
    <mergeCell ref="G3:H3"/>
    <mergeCell ref="C8:D8"/>
  </mergeCells>
  <dataValidations count="2">
    <dataValidation sqref="B15:B44" showDropDown="0" showInputMessage="0" showErrorMessage="1" allowBlank="1" error="リストから選んでください" type="list">
      <formula1>'設定'!$C$19:$C$38</formula1>
    </dataValidation>
    <dataValidation sqref="B3" showDropDown="0" showInputMessage="0" showErrorMessage="1" allowBlank="1" error="リストから選んでください" type="list">
      <formula1>'案件台帳'!$A$6:$A$105</formula1>
    </dataValidation>
  </dataValidations>
  <printOptions horizontalCentered="1"/>
  <pageMargins left="0.75" right="0.75" top="1" bottom="1" header="0.5" footer="0.5"/>
  <pageSetup orientation="portrait" paperSize="8" fitToHeight="1" fitToWidth="1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H2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16" customWidth="1" min="3" max="3"/>
    <col width="26" customWidth="1" min="4" max="4"/>
    <col width="15" customWidth="1" min="5" max="5"/>
    <col width="15" customWidth="1" min="6" max="6"/>
    <col width="13" customWidth="1" min="7" max="7"/>
    <col width="28" customWidth="1" min="8" max="8"/>
  </cols>
  <sheetData>
    <row r="1">
      <c r="A1" s="11" t="inlineStr">
        <is>
          <t>予算管理（外注・発注の一覧）</t>
        </is>
      </c>
    </row>
    <row r="2">
      <c r="A2" s="12" t="inlineStr">
        <is>
          <t>業者への発注を1件1行で入力します。案件ごとの外注費・粗利は「案件台帳」に自動集計されます。見積のある項目だけ入力してください。</t>
        </is>
      </c>
    </row>
    <row r="3">
      <c r="D3" s="21" t="inlineStr">
        <is>
          <t>合計</t>
        </is>
      </c>
      <c r="E3" s="22">
        <f>SUM(E6:E205)</f>
        <v/>
      </c>
      <c r="F3" s="22">
        <f>SUM(F6:F205)</f>
        <v/>
      </c>
    </row>
    <row r="5" ht="30" customHeight="1">
      <c r="A5" s="13" t="inlineStr">
        <is>
          <t>案件No</t>
        </is>
      </c>
      <c r="B5" s="13" t="inlineStr">
        <is>
          <t>案件名</t>
        </is>
      </c>
      <c r="C5" s="13" t="inlineStr">
        <is>
          <t>工種</t>
        </is>
      </c>
      <c r="D5" s="13" t="inlineStr">
        <is>
          <t>業者名</t>
        </is>
      </c>
      <c r="E5" s="13" t="inlineStr">
        <is>
          <t>発注金額
（税抜）</t>
        </is>
      </c>
      <c r="F5" s="13" t="inlineStr">
        <is>
          <t>発注金額
（税込）</t>
        </is>
      </c>
      <c r="G5" s="13" t="inlineStr">
        <is>
          <t>発注日</t>
        </is>
      </c>
      <c r="H5" s="13" t="inlineStr">
        <is>
          <t>備考</t>
        </is>
      </c>
    </row>
    <row r="6">
      <c r="A6" s="25" t="inlineStr">
        <is>
          <t>2610-01</t>
        </is>
      </c>
      <c r="B6" s="17">
        <f>IF(A6="","",IFERROR(INDEX('案件台帳'!$B$6:$B$105,MATCH(A6,'案件台帳'!$A$6:$A$105,0)),""))</f>
        <v/>
      </c>
      <c r="C6" s="25" t="inlineStr">
        <is>
          <t>仮設・足場</t>
        </is>
      </c>
      <c r="D6" s="25" t="inlineStr">
        <is>
          <t>サンプル足場工業</t>
        </is>
      </c>
      <c r="E6" s="29" t="n">
        <v>1200000</v>
      </c>
      <c r="F6" s="19">
        <f>IF(E6="","",ROUND(E6*(1+'設定'!$C$11),0))</f>
        <v/>
      </c>
      <c r="G6" s="45" t="n">
        <v>46285</v>
      </c>
      <c r="H6" s="25" t="n"/>
    </row>
    <row r="7">
      <c r="A7" s="25" t="inlineStr">
        <is>
          <t>2610-01</t>
        </is>
      </c>
      <c r="B7" s="17">
        <f>IF(A7="","",IFERROR(INDEX('案件台帳'!$B$6:$B$105,MATCH(A7,'案件台帳'!$A$6:$A$105,0)),""))</f>
        <v/>
      </c>
      <c r="C7" s="25" t="inlineStr">
        <is>
          <t>塗装</t>
        </is>
      </c>
      <c r="D7" s="25" t="inlineStr">
        <is>
          <t>サンプル塗装店</t>
        </is>
      </c>
      <c r="E7" s="29" t="n">
        <v>2800000</v>
      </c>
      <c r="F7" s="19">
        <f>IF(E7="","",ROUND(E7*(1+'設定'!$C$11),0))</f>
        <v/>
      </c>
      <c r="G7" s="45" t="n">
        <v>46290</v>
      </c>
      <c r="H7" s="25" t="n"/>
    </row>
    <row r="8">
      <c r="A8" s="25" t="inlineStr">
        <is>
          <t>2610-01</t>
        </is>
      </c>
      <c r="B8" s="17">
        <f>IF(A8="","",IFERROR(INDEX('案件台帳'!$B$6:$B$105,MATCH(A8,'案件台帳'!$A$6:$A$105,0)),""))</f>
        <v/>
      </c>
      <c r="C8" s="25" t="inlineStr">
        <is>
          <t>防水</t>
        </is>
      </c>
      <c r="D8" s="25" t="inlineStr">
        <is>
          <t>サンプル防水工業</t>
        </is>
      </c>
      <c r="E8" s="29" t="n">
        <v>900000</v>
      </c>
      <c r="F8" s="19">
        <f>IF(E8="","",ROUND(E8*(1+'設定'!$C$11),0))</f>
        <v/>
      </c>
      <c r="G8" s="45" t="n">
        <v>46296</v>
      </c>
      <c r="H8" s="25" t="n"/>
    </row>
    <row r="9">
      <c r="A9" s="25" t="inlineStr">
        <is>
          <t>2610-02</t>
        </is>
      </c>
      <c r="B9" s="17">
        <f>IF(A9="","",IFERROR(INDEX('案件台帳'!$B$6:$B$105,MATCH(A9,'案件台帳'!$A$6:$A$105,0)),""))</f>
        <v/>
      </c>
      <c r="C9" s="25" t="inlineStr">
        <is>
          <t>内装</t>
        </is>
      </c>
      <c r="D9" s="25" t="inlineStr">
        <is>
          <t>サンプル内装</t>
        </is>
      </c>
      <c r="E9" s="29" t="n">
        <v>1300000</v>
      </c>
      <c r="F9" s="19">
        <f>IF(E9="","",ROUND(E9*(1+'設定'!$C$11),0))</f>
        <v/>
      </c>
      <c r="G9" s="45" t="n">
        <v>46300</v>
      </c>
      <c r="H9" s="25" t="n"/>
    </row>
    <row r="10">
      <c r="A10" s="25" t="inlineStr">
        <is>
          <t>2610-02</t>
        </is>
      </c>
      <c r="B10" s="17">
        <f>IF(A10="","",IFERROR(INDEX('案件台帳'!$B$6:$B$105,MATCH(A10,'案件台帳'!$A$6:$A$105,0)),""))</f>
        <v/>
      </c>
      <c r="C10" s="25" t="inlineStr">
        <is>
          <t>電気</t>
        </is>
      </c>
      <c r="D10" s="25" t="inlineStr">
        <is>
          <t>サンプル電設</t>
        </is>
      </c>
      <c r="E10" s="29" t="n">
        <v>400000</v>
      </c>
      <c r="F10" s="19">
        <f>IF(E10="","",ROUND(E10*(1+'設定'!$C$11),0))</f>
        <v/>
      </c>
      <c r="G10" s="45" t="n">
        <v>46303</v>
      </c>
      <c r="H10" s="25" t="n"/>
    </row>
    <row r="11">
      <c r="A11" s="25" t="inlineStr">
        <is>
          <t>2609-03</t>
        </is>
      </c>
      <c r="B11" s="17">
        <f>IF(A11="","",IFERROR(INDEX('案件台帳'!$B$6:$B$105,MATCH(A11,'案件台帳'!$A$6:$A$105,0)),""))</f>
        <v/>
      </c>
      <c r="C11" s="25" t="inlineStr">
        <is>
          <t>防水</t>
        </is>
      </c>
      <c r="D11" s="25" t="inlineStr">
        <is>
          <t>サンプル防水工業</t>
        </is>
      </c>
      <c r="E11" s="29" t="n">
        <v>500000</v>
      </c>
      <c r="F11" s="19">
        <f>IF(E11="","",ROUND(E11*(1+'設定'!$C$11),0))</f>
        <v/>
      </c>
      <c r="G11" s="45" t="n">
        <v>46266</v>
      </c>
      <c r="H11" s="25" t="n"/>
    </row>
    <row r="12">
      <c r="A12" s="25" t="inlineStr">
        <is>
          <t>2609-03</t>
        </is>
      </c>
      <c r="B12" s="17">
        <f>IF(A12="","",IFERROR(INDEX('案件台帳'!$B$6:$B$105,MATCH(A12,'案件台帳'!$A$6:$A$105,0)),""))</f>
        <v/>
      </c>
      <c r="C12" s="25" t="inlineStr">
        <is>
          <t>屋根・板金</t>
        </is>
      </c>
      <c r="D12" s="25" t="inlineStr">
        <is>
          <t>サンプル板金</t>
        </is>
      </c>
      <c r="E12" s="29" t="n">
        <v>300000</v>
      </c>
      <c r="F12" s="19">
        <f>IF(E12="","",ROUND(E12*(1+'設定'!$C$11),0))</f>
        <v/>
      </c>
      <c r="G12" s="45" t="n">
        <v>46268</v>
      </c>
      <c r="H12" s="25" t="n"/>
    </row>
    <row r="13">
      <c r="A13" s="25" t="n"/>
      <c r="B13" s="17">
        <f>IF(A13="","",IFERROR(INDEX('案件台帳'!$B$6:$B$105,MATCH(A13,'案件台帳'!$A$6:$A$105,0)),""))</f>
        <v/>
      </c>
      <c r="C13" s="25" t="n"/>
      <c r="D13" s="25" t="n"/>
      <c r="E13" s="29" t="n"/>
      <c r="F13" s="19">
        <f>IF(E13="","",ROUND(E13*(1+'設定'!$C$11),0))</f>
        <v/>
      </c>
      <c r="G13" s="45" t="n"/>
      <c r="H13" s="25" t="n"/>
    </row>
    <row r="14">
      <c r="A14" s="25" t="n"/>
      <c r="B14" s="17">
        <f>IF(A14="","",IFERROR(INDEX('案件台帳'!$B$6:$B$105,MATCH(A14,'案件台帳'!$A$6:$A$105,0)),""))</f>
        <v/>
      </c>
      <c r="C14" s="25" t="n"/>
      <c r="D14" s="25" t="n"/>
      <c r="E14" s="29" t="n"/>
      <c r="F14" s="19">
        <f>IF(E14="","",ROUND(E14*(1+'設定'!$C$11),0))</f>
        <v/>
      </c>
      <c r="G14" s="45" t="n"/>
      <c r="H14" s="25" t="n"/>
    </row>
    <row r="15">
      <c r="A15" s="25" t="n"/>
      <c r="B15" s="17">
        <f>IF(A15="","",IFERROR(INDEX('案件台帳'!$B$6:$B$105,MATCH(A15,'案件台帳'!$A$6:$A$105,0)),""))</f>
        <v/>
      </c>
      <c r="C15" s="25" t="n"/>
      <c r="D15" s="25" t="n"/>
      <c r="E15" s="29" t="n"/>
      <c r="F15" s="19">
        <f>IF(E15="","",ROUND(E15*(1+'設定'!$C$11),0))</f>
        <v/>
      </c>
      <c r="G15" s="45" t="n"/>
      <c r="H15" s="25" t="n"/>
    </row>
    <row r="16">
      <c r="A16" s="25" t="n"/>
      <c r="B16" s="17">
        <f>IF(A16="","",IFERROR(INDEX('案件台帳'!$B$6:$B$105,MATCH(A16,'案件台帳'!$A$6:$A$105,0)),""))</f>
        <v/>
      </c>
      <c r="C16" s="25" t="n"/>
      <c r="D16" s="25" t="n"/>
      <c r="E16" s="29" t="n"/>
      <c r="F16" s="19">
        <f>IF(E16="","",ROUND(E16*(1+'設定'!$C$11),0))</f>
        <v/>
      </c>
      <c r="G16" s="45" t="n"/>
      <c r="H16" s="25" t="n"/>
    </row>
    <row r="17">
      <c r="A17" s="25" t="n"/>
      <c r="B17" s="17">
        <f>IF(A17="","",IFERROR(INDEX('案件台帳'!$B$6:$B$105,MATCH(A17,'案件台帳'!$A$6:$A$105,0)),""))</f>
        <v/>
      </c>
      <c r="C17" s="25" t="n"/>
      <c r="D17" s="25" t="n"/>
      <c r="E17" s="29" t="n"/>
      <c r="F17" s="19">
        <f>IF(E17="","",ROUND(E17*(1+'設定'!$C$11),0))</f>
        <v/>
      </c>
      <c r="G17" s="45" t="n"/>
      <c r="H17" s="25" t="n"/>
    </row>
    <row r="18">
      <c r="A18" s="25" t="n"/>
      <c r="B18" s="17">
        <f>IF(A18="","",IFERROR(INDEX('案件台帳'!$B$6:$B$105,MATCH(A18,'案件台帳'!$A$6:$A$105,0)),""))</f>
        <v/>
      </c>
      <c r="C18" s="25" t="n"/>
      <c r="D18" s="25" t="n"/>
      <c r="E18" s="29" t="n"/>
      <c r="F18" s="19">
        <f>IF(E18="","",ROUND(E18*(1+'設定'!$C$11),0))</f>
        <v/>
      </c>
      <c r="G18" s="45" t="n"/>
      <c r="H18" s="25" t="n"/>
    </row>
    <row r="19">
      <c r="A19" s="25" t="n"/>
      <c r="B19" s="17">
        <f>IF(A19="","",IFERROR(INDEX('案件台帳'!$B$6:$B$105,MATCH(A19,'案件台帳'!$A$6:$A$105,0)),""))</f>
        <v/>
      </c>
      <c r="C19" s="25" t="n"/>
      <c r="D19" s="25" t="n"/>
      <c r="E19" s="29" t="n"/>
      <c r="F19" s="19">
        <f>IF(E19="","",ROUND(E19*(1+'設定'!$C$11),0))</f>
        <v/>
      </c>
      <c r="G19" s="45" t="n"/>
      <c r="H19" s="25" t="n"/>
    </row>
    <row r="20">
      <c r="A20" s="25" t="n"/>
      <c r="B20" s="17">
        <f>IF(A20="","",IFERROR(INDEX('案件台帳'!$B$6:$B$105,MATCH(A20,'案件台帳'!$A$6:$A$105,0)),""))</f>
        <v/>
      </c>
      <c r="C20" s="25" t="n"/>
      <c r="D20" s="25" t="n"/>
      <c r="E20" s="29" t="n"/>
      <c r="F20" s="19">
        <f>IF(E20="","",ROUND(E20*(1+'設定'!$C$11),0))</f>
        <v/>
      </c>
      <c r="G20" s="45" t="n"/>
      <c r="H20" s="25" t="n"/>
    </row>
    <row r="21">
      <c r="A21" s="25" t="n"/>
      <c r="B21" s="17">
        <f>IF(A21="","",IFERROR(INDEX('案件台帳'!$B$6:$B$105,MATCH(A21,'案件台帳'!$A$6:$A$105,0)),""))</f>
        <v/>
      </c>
      <c r="C21" s="25" t="n"/>
      <c r="D21" s="25" t="n"/>
      <c r="E21" s="29" t="n"/>
      <c r="F21" s="19">
        <f>IF(E21="","",ROUND(E21*(1+'設定'!$C$11),0))</f>
        <v/>
      </c>
      <c r="G21" s="45" t="n"/>
      <c r="H21" s="25" t="n"/>
    </row>
    <row r="22">
      <c r="A22" s="25" t="n"/>
      <c r="B22" s="17">
        <f>IF(A22="","",IFERROR(INDEX('案件台帳'!$B$6:$B$105,MATCH(A22,'案件台帳'!$A$6:$A$105,0)),""))</f>
        <v/>
      </c>
      <c r="C22" s="25" t="n"/>
      <c r="D22" s="25" t="n"/>
      <c r="E22" s="29" t="n"/>
      <c r="F22" s="19">
        <f>IF(E22="","",ROUND(E22*(1+'設定'!$C$11),0))</f>
        <v/>
      </c>
      <c r="G22" s="45" t="n"/>
      <c r="H22" s="25" t="n"/>
    </row>
    <row r="23">
      <c r="A23" s="25" t="n"/>
      <c r="B23" s="17">
        <f>IF(A23="","",IFERROR(INDEX('案件台帳'!$B$6:$B$105,MATCH(A23,'案件台帳'!$A$6:$A$105,0)),""))</f>
        <v/>
      </c>
      <c r="C23" s="25" t="n"/>
      <c r="D23" s="25" t="n"/>
      <c r="E23" s="29" t="n"/>
      <c r="F23" s="19">
        <f>IF(E23="","",ROUND(E23*(1+'設定'!$C$11),0))</f>
        <v/>
      </c>
      <c r="G23" s="45" t="n"/>
      <c r="H23" s="25" t="n"/>
    </row>
    <row r="24">
      <c r="A24" s="25" t="n"/>
      <c r="B24" s="17">
        <f>IF(A24="","",IFERROR(INDEX('案件台帳'!$B$6:$B$105,MATCH(A24,'案件台帳'!$A$6:$A$105,0)),""))</f>
        <v/>
      </c>
      <c r="C24" s="25" t="n"/>
      <c r="D24" s="25" t="n"/>
      <c r="E24" s="29" t="n"/>
      <c r="F24" s="19">
        <f>IF(E24="","",ROUND(E24*(1+'設定'!$C$11),0))</f>
        <v/>
      </c>
      <c r="G24" s="45" t="n"/>
      <c r="H24" s="25" t="n"/>
    </row>
    <row r="25">
      <c r="A25" s="25" t="n"/>
      <c r="B25" s="17">
        <f>IF(A25="","",IFERROR(INDEX('案件台帳'!$B$6:$B$105,MATCH(A25,'案件台帳'!$A$6:$A$105,0)),""))</f>
        <v/>
      </c>
      <c r="C25" s="25" t="n"/>
      <c r="D25" s="25" t="n"/>
      <c r="E25" s="29" t="n"/>
      <c r="F25" s="19">
        <f>IF(E25="","",ROUND(E25*(1+'設定'!$C$11),0))</f>
        <v/>
      </c>
      <c r="G25" s="45" t="n"/>
      <c r="H25" s="25" t="n"/>
    </row>
    <row r="26">
      <c r="A26" s="25" t="n"/>
      <c r="B26" s="17">
        <f>IF(A26="","",IFERROR(INDEX('案件台帳'!$B$6:$B$105,MATCH(A26,'案件台帳'!$A$6:$A$105,0)),""))</f>
        <v/>
      </c>
      <c r="C26" s="25" t="n"/>
      <c r="D26" s="25" t="n"/>
      <c r="E26" s="29" t="n"/>
      <c r="F26" s="19">
        <f>IF(E26="","",ROUND(E26*(1+'設定'!$C$11),0))</f>
        <v/>
      </c>
      <c r="G26" s="45" t="n"/>
      <c r="H26" s="25" t="n"/>
    </row>
    <row r="27">
      <c r="A27" s="25" t="n"/>
      <c r="B27" s="17">
        <f>IF(A27="","",IFERROR(INDEX('案件台帳'!$B$6:$B$105,MATCH(A27,'案件台帳'!$A$6:$A$105,0)),""))</f>
        <v/>
      </c>
      <c r="C27" s="25" t="n"/>
      <c r="D27" s="25" t="n"/>
      <c r="E27" s="29" t="n"/>
      <c r="F27" s="19">
        <f>IF(E27="","",ROUND(E27*(1+'設定'!$C$11),0))</f>
        <v/>
      </c>
      <c r="G27" s="45" t="n"/>
      <c r="H27" s="25" t="n"/>
    </row>
    <row r="28">
      <c r="A28" s="25" t="n"/>
      <c r="B28" s="17">
        <f>IF(A28="","",IFERROR(INDEX('案件台帳'!$B$6:$B$105,MATCH(A28,'案件台帳'!$A$6:$A$105,0)),""))</f>
        <v/>
      </c>
      <c r="C28" s="25" t="n"/>
      <c r="D28" s="25" t="n"/>
      <c r="E28" s="29" t="n"/>
      <c r="F28" s="19">
        <f>IF(E28="","",ROUND(E28*(1+'設定'!$C$11),0))</f>
        <v/>
      </c>
      <c r="G28" s="45" t="n"/>
      <c r="H28" s="25" t="n"/>
    </row>
    <row r="29">
      <c r="A29" s="25" t="n"/>
      <c r="B29" s="17">
        <f>IF(A29="","",IFERROR(INDEX('案件台帳'!$B$6:$B$105,MATCH(A29,'案件台帳'!$A$6:$A$105,0)),""))</f>
        <v/>
      </c>
      <c r="C29" s="25" t="n"/>
      <c r="D29" s="25" t="n"/>
      <c r="E29" s="29" t="n"/>
      <c r="F29" s="19">
        <f>IF(E29="","",ROUND(E29*(1+'設定'!$C$11),0))</f>
        <v/>
      </c>
      <c r="G29" s="45" t="n"/>
      <c r="H29" s="25" t="n"/>
    </row>
    <row r="30">
      <c r="A30" s="25" t="n"/>
      <c r="B30" s="17">
        <f>IF(A30="","",IFERROR(INDEX('案件台帳'!$B$6:$B$105,MATCH(A30,'案件台帳'!$A$6:$A$105,0)),""))</f>
        <v/>
      </c>
      <c r="C30" s="25" t="n"/>
      <c r="D30" s="25" t="n"/>
      <c r="E30" s="29" t="n"/>
      <c r="F30" s="19">
        <f>IF(E30="","",ROUND(E30*(1+'設定'!$C$11),0))</f>
        <v/>
      </c>
      <c r="G30" s="45" t="n"/>
      <c r="H30" s="25" t="n"/>
    </row>
    <row r="31">
      <c r="A31" s="25" t="n"/>
      <c r="B31" s="17">
        <f>IF(A31="","",IFERROR(INDEX('案件台帳'!$B$6:$B$105,MATCH(A31,'案件台帳'!$A$6:$A$105,0)),""))</f>
        <v/>
      </c>
      <c r="C31" s="25" t="n"/>
      <c r="D31" s="25" t="n"/>
      <c r="E31" s="29" t="n"/>
      <c r="F31" s="19">
        <f>IF(E31="","",ROUND(E31*(1+'設定'!$C$11),0))</f>
        <v/>
      </c>
      <c r="G31" s="45" t="n"/>
      <c r="H31" s="25" t="n"/>
    </row>
    <row r="32">
      <c r="A32" s="25" t="n"/>
      <c r="B32" s="17">
        <f>IF(A32="","",IFERROR(INDEX('案件台帳'!$B$6:$B$105,MATCH(A32,'案件台帳'!$A$6:$A$105,0)),""))</f>
        <v/>
      </c>
      <c r="C32" s="25" t="n"/>
      <c r="D32" s="25" t="n"/>
      <c r="E32" s="29" t="n"/>
      <c r="F32" s="19">
        <f>IF(E32="","",ROUND(E32*(1+'設定'!$C$11),0))</f>
        <v/>
      </c>
      <c r="G32" s="45" t="n"/>
      <c r="H32" s="25" t="n"/>
    </row>
    <row r="33">
      <c r="A33" s="25" t="n"/>
      <c r="B33" s="17">
        <f>IF(A33="","",IFERROR(INDEX('案件台帳'!$B$6:$B$105,MATCH(A33,'案件台帳'!$A$6:$A$105,0)),""))</f>
        <v/>
      </c>
      <c r="C33" s="25" t="n"/>
      <c r="D33" s="25" t="n"/>
      <c r="E33" s="29" t="n"/>
      <c r="F33" s="19">
        <f>IF(E33="","",ROUND(E33*(1+'設定'!$C$11),0))</f>
        <v/>
      </c>
      <c r="G33" s="45" t="n"/>
      <c r="H33" s="25" t="n"/>
    </row>
    <row r="34">
      <c r="A34" s="25" t="n"/>
      <c r="B34" s="17">
        <f>IF(A34="","",IFERROR(INDEX('案件台帳'!$B$6:$B$105,MATCH(A34,'案件台帳'!$A$6:$A$105,0)),""))</f>
        <v/>
      </c>
      <c r="C34" s="25" t="n"/>
      <c r="D34" s="25" t="n"/>
      <c r="E34" s="29" t="n"/>
      <c r="F34" s="19">
        <f>IF(E34="","",ROUND(E34*(1+'設定'!$C$11),0))</f>
        <v/>
      </c>
      <c r="G34" s="45" t="n"/>
      <c r="H34" s="25" t="n"/>
    </row>
    <row r="35">
      <c r="A35" s="25" t="n"/>
      <c r="B35" s="17">
        <f>IF(A35="","",IFERROR(INDEX('案件台帳'!$B$6:$B$105,MATCH(A35,'案件台帳'!$A$6:$A$105,0)),""))</f>
        <v/>
      </c>
      <c r="C35" s="25" t="n"/>
      <c r="D35" s="25" t="n"/>
      <c r="E35" s="29" t="n"/>
      <c r="F35" s="19">
        <f>IF(E35="","",ROUND(E35*(1+'設定'!$C$11),0))</f>
        <v/>
      </c>
      <c r="G35" s="45" t="n"/>
      <c r="H35" s="25" t="n"/>
    </row>
    <row r="36">
      <c r="A36" s="25" t="n"/>
      <c r="B36" s="17">
        <f>IF(A36="","",IFERROR(INDEX('案件台帳'!$B$6:$B$105,MATCH(A36,'案件台帳'!$A$6:$A$105,0)),""))</f>
        <v/>
      </c>
      <c r="C36" s="25" t="n"/>
      <c r="D36" s="25" t="n"/>
      <c r="E36" s="29" t="n"/>
      <c r="F36" s="19">
        <f>IF(E36="","",ROUND(E36*(1+'設定'!$C$11),0))</f>
        <v/>
      </c>
      <c r="G36" s="45" t="n"/>
      <c r="H36" s="25" t="n"/>
    </row>
    <row r="37">
      <c r="A37" s="25" t="n"/>
      <c r="B37" s="17">
        <f>IF(A37="","",IFERROR(INDEX('案件台帳'!$B$6:$B$105,MATCH(A37,'案件台帳'!$A$6:$A$105,0)),""))</f>
        <v/>
      </c>
      <c r="C37" s="25" t="n"/>
      <c r="D37" s="25" t="n"/>
      <c r="E37" s="29" t="n"/>
      <c r="F37" s="19">
        <f>IF(E37="","",ROUND(E37*(1+'設定'!$C$11),0))</f>
        <v/>
      </c>
      <c r="G37" s="45" t="n"/>
      <c r="H37" s="25" t="n"/>
    </row>
    <row r="38">
      <c r="A38" s="25" t="n"/>
      <c r="B38" s="17">
        <f>IF(A38="","",IFERROR(INDEX('案件台帳'!$B$6:$B$105,MATCH(A38,'案件台帳'!$A$6:$A$105,0)),""))</f>
        <v/>
      </c>
      <c r="C38" s="25" t="n"/>
      <c r="D38" s="25" t="n"/>
      <c r="E38" s="29" t="n"/>
      <c r="F38" s="19">
        <f>IF(E38="","",ROUND(E38*(1+'設定'!$C$11),0))</f>
        <v/>
      </c>
      <c r="G38" s="45" t="n"/>
      <c r="H38" s="25" t="n"/>
    </row>
    <row r="39">
      <c r="A39" s="25" t="n"/>
      <c r="B39" s="17">
        <f>IF(A39="","",IFERROR(INDEX('案件台帳'!$B$6:$B$105,MATCH(A39,'案件台帳'!$A$6:$A$105,0)),""))</f>
        <v/>
      </c>
      <c r="C39" s="25" t="n"/>
      <c r="D39" s="25" t="n"/>
      <c r="E39" s="29" t="n"/>
      <c r="F39" s="19">
        <f>IF(E39="","",ROUND(E39*(1+'設定'!$C$11),0))</f>
        <v/>
      </c>
      <c r="G39" s="45" t="n"/>
      <c r="H39" s="25" t="n"/>
    </row>
    <row r="40">
      <c r="A40" s="25" t="n"/>
      <c r="B40" s="17">
        <f>IF(A40="","",IFERROR(INDEX('案件台帳'!$B$6:$B$105,MATCH(A40,'案件台帳'!$A$6:$A$105,0)),""))</f>
        <v/>
      </c>
      <c r="C40" s="25" t="n"/>
      <c r="D40" s="25" t="n"/>
      <c r="E40" s="29" t="n"/>
      <c r="F40" s="19">
        <f>IF(E40="","",ROUND(E40*(1+'設定'!$C$11),0))</f>
        <v/>
      </c>
      <c r="G40" s="45" t="n"/>
      <c r="H40" s="25" t="n"/>
    </row>
    <row r="41">
      <c r="A41" s="25" t="n"/>
      <c r="B41" s="17">
        <f>IF(A41="","",IFERROR(INDEX('案件台帳'!$B$6:$B$105,MATCH(A41,'案件台帳'!$A$6:$A$105,0)),""))</f>
        <v/>
      </c>
      <c r="C41" s="25" t="n"/>
      <c r="D41" s="25" t="n"/>
      <c r="E41" s="29" t="n"/>
      <c r="F41" s="19">
        <f>IF(E41="","",ROUND(E41*(1+'設定'!$C$11),0))</f>
        <v/>
      </c>
      <c r="G41" s="45" t="n"/>
      <c r="H41" s="25" t="n"/>
    </row>
    <row r="42">
      <c r="A42" s="25" t="n"/>
      <c r="B42" s="17">
        <f>IF(A42="","",IFERROR(INDEX('案件台帳'!$B$6:$B$105,MATCH(A42,'案件台帳'!$A$6:$A$105,0)),""))</f>
        <v/>
      </c>
      <c r="C42" s="25" t="n"/>
      <c r="D42" s="25" t="n"/>
      <c r="E42" s="29" t="n"/>
      <c r="F42" s="19">
        <f>IF(E42="","",ROUND(E42*(1+'設定'!$C$11),0))</f>
        <v/>
      </c>
      <c r="G42" s="45" t="n"/>
      <c r="H42" s="25" t="n"/>
    </row>
    <row r="43">
      <c r="A43" s="25" t="n"/>
      <c r="B43" s="17">
        <f>IF(A43="","",IFERROR(INDEX('案件台帳'!$B$6:$B$105,MATCH(A43,'案件台帳'!$A$6:$A$105,0)),""))</f>
        <v/>
      </c>
      <c r="C43" s="25" t="n"/>
      <c r="D43" s="25" t="n"/>
      <c r="E43" s="29" t="n"/>
      <c r="F43" s="19">
        <f>IF(E43="","",ROUND(E43*(1+'設定'!$C$11),0))</f>
        <v/>
      </c>
      <c r="G43" s="45" t="n"/>
      <c r="H43" s="25" t="n"/>
    </row>
    <row r="44">
      <c r="A44" s="25" t="n"/>
      <c r="B44" s="17">
        <f>IF(A44="","",IFERROR(INDEX('案件台帳'!$B$6:$B$105,MATCH(A44,'案件台帳'!$A$6:$A$105,0)),""))</f>
        <v/>
      </c>
      <c r="C44" s="25" t="n"/>
      <c r="D44" s="25" t="n"/>
      <c r="E44" s="29" t="n"/>
      <c r="F44" s="19">
        <f>IF(E44="","",ROUND(E44*(1+'設定'!$C$11),0))</f>
        <v/>
      </c>
      <c r="G44" s="45" t="n"/>
      <c r="H44" s="25" t="n"/>
    </row>
    <row r="45">
      <c r="A45" s="25" t="n"/>
      <c r="B45" s="17">
        <f>IF(A45="","",IFERROR(INDEX('案件台帳'!$B$6:$B$105,MATCH(A45,'案件台帳'!$A$6:$A$105,0)),""))</f>
        <v/>
      </c>
      <c r="C45" s="25" t="n"/>
      <c r="D45" s="25" t="n"/>
      <c r="E45" s="29" t="n"/>
      <c r="F45" s="19">
        <f>IF(E45="","",ROUND(E45*(1+'設定'!$C$11),0))</f>
        <v/>
      </c>
      <c r="G45" s="45" t="n"/>
      <c r="H45" s="25" t="n"/>
    </row>
    <row r="46">
      <c r="A46" s="25" t="n"/>
      <c r="B46" s="17">
        <f>IF(A46="","",IFERROR(INDEX('案件台帳'!$B$6:$B$105,MATCH(A46,'案件台帳'!$A$6:$A$105,0)),""))</f>
        <v/>
      </c>
      <c r="C46" s="25" t="n"/>
      <c r="D46" s="25" t="n"/>
      <c r="E46" s="29" t="n"/>
      <c r="F46" s="19">
        <f>IF(E46="","",ROUND(E46*(1+'設定'!$C$11),0))</f>
        <v/>
      </c>
      <c r="G46" s="45" t="n"/>
      <c r="H46" s="25" t="n"/>
    </row>
    <row r="47">
      <c r="A47" s="25" t="n"/>
      <c r="B47" s="17">
        <f>IF(A47="","",IFERROR(INDEX('案件台帳'!$B$6:$B$105,MATCH(A47,'案件台帳'!$A$6:$A$105,0)),""))</f>
        <v/>
      </c>
      <c r="C47" s="25" t="n"/>
      <c r="D47" s="25" t="n"/>
      <c r="E47" s="29" t="n"/>
      <c r="F47" s="19">
        <f>IF(E47="","",ROUND(E47*(1+'設定'!$C$11),0))</f>
        <v/>
      </c>
      <c r="G47" s="45" t="n"/>
      <c r="H47" s="25" t="n"/>
    </row>
    <row r="48">
      <c r="A48" s="25" t="n"/>
      <c r="B48" s="17">
        <f>IF(A48="","",IFERROR(INDEX('案件台帳'!$B$6:$B$105,MATCH(A48,'案件台帳'!$A$6:$A$105,0)),""))</f>
        <v/>
      </c>
      <c r="C48" s="25" t="n"/>
      <c r="D48" s="25" t="n"/>
      <c r="E48" s="29" t="n"/>
      <c r="F48" s="19">
        <f>IF(E48="","",ROUND(E48*(1+'設定'!$C$11),0))</f>
        <v/>
      </c>
      <c r="G48" s="45" t="n"/>
      <c r="H48" s="25" t="n"/>
    </row>
    <row r="49">
      <c r="A49" s="25" t="n"/>
      <c r="B49" s="17">
        <f>IF(A49="","",IFERROR(INDEX('案件台帳'!$B$6:$B$105,MATCH(A49,'案件台帳'!$A$6:$A$105,0)),""))</f>
        <v/>
      </c>
      <c r="C49" s="25" t="n"/>
      <c r="D49" s="25" t="n"/>
      <c r="E49" s="29" t="n"/>
      <c r="F49" s="19">
        <f>IF(E49="","",ROUND(E49*(1+'設定'!$C$11),0))</f>
        <v/>
      </c>
      <c r="G49" s="45" t="n"/>
      <c r="H49" s="25" t="n"/>
    </row>
    <row r="50">
      <c r="A50" s="25" t="n"/>
      <c r="B50" s="17">
        <f>IF(A50="","",IFERROR(INDEX('案件台帳'!$B$6:$B$105,MATCH(A50,'案件台帳'!$A$6:$A$105,0)),""))</f>
        <v/>
      </c>
      <c r="C50" s="25" t="n"/>
      <c r="D50" s="25" t="n"/>
      <c r="E50" s="29" t="n"/>
      <c r="F50" s="19">
        <f>IF(E50="","",ROUND(E50*(1+'設定'!$C$11),0))</f>
        <v/>
      </c>
      <c r="G50" s="45" t="n"/>
      <c r="H50" s="25" t="n"/>
    </row>
    <row r="51">
      <c r="A51" s="25" t="n"/>
      <c r="B51" s="17">
        <f>IF(A51="","",IFERROR(INDEX('案件台帳'!$B$6:$B$105,MATCH(A51,'案件台帳'!$A$6:$A$105,0)),""))</f>
        <v/>
      </c>
      <c r="C51" s="25" t="n"/>
      <c r="D51" s="25" t="n"/>
      <c r="E51" s="29" t="n"/>
      <c r="F51" s="19">
        <f>IF(E51="","",ROUND(E51*(1+'設定'!$C$11),0))</f>
        <v/>
      </c>
      <c r="G51" s="45" t="n"/>
      <c r="H51" s="25" t="n"/>
    </row>
    <row r="52">
      <c r="A52" s="25" t="n"/>
      <c r="B52" s="17">
        <f>IF(A52="","",IFERROR(INDEX('案件台帳'!$B$6:$B$105,MATCH(A52,'案件台帳'!$A$6:$A$105,0)),""))</f>
        <v/>
      </c>
      <c r="C52" s="25" t="n"/>
      <c r="D52" s="25" t="n"/>
      <c r="E52" s="29" t="n"/>
      <c r="F52" s="19">
        <f>IF(E52="","",ROUND(E52*(1+'設定'!$C$11),0))</f>
        <v/>
      </c>
      <c r="G52" s="45" t="n"/>
      <c r="H52" s="25" t="n"/>
    </row>
    <row r="53">
      <c r="A53" s="25" t="n"/>
      <c r="B53" s="17">
        <f>IF(A53="","",IFERROR(INDEX('案件台帳'!$B$6:$B$105,MATCH(A53,'案件台帳'!$A$6:$A$105,0)),""))</f>
        <v/>
      </c>
      <c r="C53" s="25" t="n"/>
      <c r="D53" s="25" t="n"/>
      <c r="E53" s="29" t="n"/>
      <c r="F53" s="19">
        <f>IF(E53="","",ROUND(E53*(1+'設定'!$C$11),0))</f>
        <v/>
      </c>
      <c r="G53" s="45" t="n"/>
      <c r="H53" s="25" t="n"/>
    </row>
    <row r="54">
      <c r="A54" s="25" t="n"/>
      <c r="B54" s="17">
        <f>IF(A54="","",IFERROR(INDEX('案件台帳'!$B$6:$B$105,MATCH(A54,'案件台帳'!$A$6:$A$105,0)),""))</f>
        <v/>
      </c>
      <c r="C54" s="25" t="n"/>
      <c r="D54" s="25" t="n"/>
      <c r="E54" s="29" t="n"/>
      <c r="F54" s="19">
        <f>IF(E54="","",ROUND(E54*(1+'設定'!$C$11),0))</f>
        <v/>
      </c>
      <c r="G54" s="45" t="n"/>
      <c r="H54" s="25" t="n"/>
    </row>
    <row r="55">
      <c r="A55" s="25" t="n"/>
      <c r="B55" s="17">
        <f>IF(A55="","",IFERROR(INDEX('案件台帳'!$B$6:$B$105,MATCH(A55,'案件台帳'!$A$6:$A$105,0)),""))</f>
        <v/>
      </c>
      <c r="C55" s="25" t="n"/>
      <c r="D55" s="25" t="n"/>
      <c r="E55" s="29" t="n"/>
      <c r="F55" s="19">
        <f>IF(E55="","",ROUND(E55*(1+'設定'!$C$11),0))</f>
        <v/>
      </c>
      <c r="G55" s="45" t="n"/>
      <c r="H55" s="25" t="n"/>
    </row>
    <row r="56">
      <c r="A56" s="25" t="n"/>
      <c r="B56" s="17">
        <f>IF(A56="","",IFERROR(INDEX('案件台帳'!$B$6:$B$105,MATCH(A56,'案件台帳'!$A$6:$A$105,0)),""))</f>
        <v/>
      </c>
      <c r="C56" s="25" t="n"/>
      <c r="D56" s="25" t="n"/>
      <c r="E56" s="29" t="n"/>
      <c r="F56" s="19">
        <f>IF(E56="","",ROUND(E56*(1+'設定'!$C$11),0))</f>
        <v/>
      </c>
      <c r="G56" s="45" t="n"/>
      <c r="H56" s="25" t="n"/>
    </row>
    <row r="57">
      <c r="A57" s="25" t="n"/>
      <c r="B57" s="17">
        <f>IF(A57="","",IFERROR(INDEX('案件台帳'!$B$6:$B$105,MATCH(A57,'案件台帳'!$A$6:$A$105,0)),""))</f>
        <v/>
      </c>
      <c r="C57" s="25" t="n"/>
      <c r="D57" s="25" t="n"/>
      <c r="E57" s="29" t="n"/>
      <c r="F57" s="19">
        <f>IF(E57="","",ROUND(E57*(1+'設定'!$C$11),0))</f>
        <v/>
      </c>
      <c r="G57" s="45" t="n"/>
      <c r="H57" s="25" t="n"/>
    </row>
    <row r="58">
      <c r="A58" s="25" t="n"/>
      <c r="B58" s="17">
        <f>IF(A58="","",IFERROR(INDEX('案件台帳'!$B$6:$B$105,MATCH(A58,'案件台帳'!$A$6:$A$105,0)),""))</f>
        <v/>
      </c>
      <c r="C58" s="25" t="n"/>
      <c r="D58" s="25" t="n"/>
      <c r="E58" s="29" t="n"/>
      <c r="F58" s="19">
        <f>IF(E58="","",ROUND(E58*(1+'設定'!$C$11),0))</f>
        <v/>
      </c>
      <c r="G58" s="45" t="n"/>
      <c r="H58" s="25" t="n"/>
    </row>
    <row r="59">
      <c r="A59" s="25" t="n"/>
      <c r="B59" s="17">
        <f>IF(A59="","",IFERROR(INDEX('案件台帳'!$B$6:$B$105,MATCH(A59,'案件台帳'!$A$6:$A$105,0)),""))</f>
        <v/>
      </c>
      <c r="C59" s="25" t="n"/>
      <c r="D59" s="25" t="n"/>
      <c r="E59" s="29" t="n"/>
      <c r="F59" s="19">
        <f>IF(E59="","",ROUND(E59*(1+'設定'!$C$11),0))</f>
        <v/>
      </c>
      <c r="G59" s="45" t="n"/>
      <c r="H59" s="25" t="n"/>
    </row>
    <row r="60">
      <c r="A60" s="25" t="n"/>
      <c r="B60" s="17">
        <f>IF(A60="","",IFERROR(INDEX('案件台帳'!$B$6:$B$105,MATCH(A60,'案件台帳'!$A$6:$A$105,0)),""))</f>
        <v/>
      </c>
      <c r="C60" s="25" t="n"/>
      <c r="D60" s="25" t="n"/>
      <c r="E60" s="29" t="n"/>
      <c r="F60" s="19">
        <f>IF(E60="","",ROUND(E60*(1+'設定'!$C$11),0))</f>
        <v/>
      </c>
      <c r="G60" s="45" t="n"/>
      <c r="H60" s="25" t="n"/>
    </row>
    <row r="61">
      <c r="A61" s="25" t="n"/>
      <c r="B61" s="17">
        <f>IF(A61="","",IFERROR(INDEX('案件台帳'!$B$6:$B$105,MATCH(A61,'案件台帳'!$A$6:$A$105,0)),""))</f>
        <v/>
      </c>
      <c r="C61" s="25" t="n"/>
      <c r="D61" s="25" t="n"/>
      <c r="E61" s="29" t="n"/>
      <c r="F61" s="19">
        <f>IF(E61="","",ROUND(E61*(1+'設定'!$C$11),0))</f>
        <v/>
      </c>
      <c r="G61" s="45" t="n"/>
      <c r="H61" s="25" t="n"/>
    </row>
    <row r="62">
      <c r="A62" s="25" t="n"/>
      <c r="B62" s="17">
        <f>IF(A62="","",IFERROR(INDEX('案件台帳'!$B$6:$B$105,MATCH(A62,'案件台帳'!$A$6:$A$105,0)),""))</f>
        <v/>
      </c>
      <c r="C62" s="25" t="n"/>
      <c r="D62" s="25" t="n"/>
      <c r="E62" s="29" t="n"/>
      <c r="F62" s="19">
        <f>IF(E62="","",ROUND(E62*(1+'設定'!$C$11),0))</f>
        <v/>
      </c>
      <c r="G62" s="45" t="n"/>
      <c r="H62" s="25" t="n"/>
    </row>
    <row r="63">
      <c r="A63" s="25" t="n"/>
      <c r="B63" s="17">
        <f>IF(A63="","",IFERROR(INDEX('案件台帳'!$B$6:$B$105,MATCH(A63,'案件台帳'!$A$6:$A$105,0)),""))</f>
        <v/>
      </c>
      <c r="C63" s="25" t="n"/>
      <c r="D63" s="25" t="n"/>
      <c r="E63" s="29" t="n"/>
      <c r="F63" s="19">
        <f>IF(E63="","",ROUND(E63*(1+'設定'!$C$11),0))</f>
        <v/>
      </c>
      <c r="G63" s="45" t="n"/>
      <c r="H63" s="25" t="n"/>
    </row>
    <row r="64">
      <c r="A64" s="25" t="n"/>
      <c r="B64" s="17">
        <f>IF(A64="","",IFERROR(INDEX('案件台帳'!$B$6:$B$105,MATCH(A64,'案件台帳'!$A$6:$A$105,0)),""))</f>
        <v/>
      </c>
      <c r="C64" s="25" t="n"/>
      <c r="D64" s="25" t="n"/>
      <c r="E64" s="29" t="n"/>
      <c r="F64" s="19">
        <f>IF(E64="","",ROUND(E64*(1+'設定'!$C$11),0))</f>
        <v/>
      </c>
      <c r="G64" s="45" t="n"/>
      <c r="H64" s="25" t="n"/>
    </row>
    <row r="65">
      <c r="A65" s="25" t="n"/>
      <c r="B65" s="17">
        <f>IF(A65="","",IFERROR(INDEX('案件台帳'!$B$6:$B$105,MATCH(A65,'案件台帳'!$A$6:$A$105,0)),""))</f>
        <v/>
      </c>
      <c r="C65" s="25" t="n"/>
      <c r="D65" s="25" t="n"/>
      <c r="E65" s="29" t="n"/>
      <c r="F65" s="19">
        <f>IF(E65="","",ROUND(E65*(1+'設定'!$C$11),0))</f>
        <v/>
      </c>
      <c r="G65" s="45" t="n"/>
      <c r="H65" s="25" t="n"/>
    </row>
    <row r="66">
      <c r="A66" s="25" t="n"/>
      <c r="B66" s="17">
        <f>IF(A66="","",IFERROR(INDEX('案件台帳'!$B$6:$B$105,MATCH(A66,'案件台帳'!$A$6:$A$105,0)),""))</f>
        <v/>
      </c>
      <c r="C66" s="25" t="n"/>
      <c r="D66" s="25" t="n"/>
      <c r="E66" s="29" t="n"/>
      <c r="F66" s="19">
        <f>IF(E66="","",ROUND(E66*(1+'設定'!$C$11),0))</f>
        <v/>
      </c>
      <c r="G66" s="45" t="n"/>
      <c r="H66" s="25" t="n"/>
    </row>
    <row r="67">
      <c r="A67" s="25" t="n"/>
      <c r="B67" s="17">
        <f>IF(A67="","",IFERROR(INDEX('案件台帳'!$B$6:$B$105,MATCH(A67,'案件台帳'!$A$6:$A$105,0)),""))</f>
        <v/>
      </c>
      <c r="C67" s="25" t="n"/>
      <c r="D67" s="25" t="n"/>
      <c r="E67" s="29" t="n"/>
      <c r="F67" s="19">
        <f>IF(E67="","",ROUND(E67*(1+'設定'!$C$11),0))</f>
        <v/>
      </c>
      <c r="G67" s="45" t="n"/>
      <c r="H67" s="25" t="n"/>
    </row>
    <row r="68">
      <c r="A68" s="25" t="n"/>
      <c r="B68" s="17">
        <f>IF(A68="","",IFERROR(INDEX('案件台帳'!$B$6:$B$105,MATCH(A68,'案件台帳'!$A$6:$A$105,0)),""))</f>
        <v/>
      </c>
      <c r="C68" s="25" t="n"/>
      <c r="D68" s="25" t="n"/>
      <c r="E68" s="29" t="n"/>
      <c r="F68" s="19">
        <f>IF(E68="","",ROUND(E68*(1+'設定'!$C$11),0))</f>
        <v/>
      </c>
      <c r="G68" s="45" t="n"/>
      <c r="H68" s="25" t="n"/>
    </row>
    <row r="69">
      <c r="A69" s="25" t="n"/>
      <c r="B69" s="17">
        <f>IF(A69="","",IFERROR(INDEX('案件台帳'!$B$6:$B$105,MATCH(A69,'案件台帳'!$A$6:$A$105,0)),""))</f>
        <v/>
      </c>
      <c r="C69" s="25" t="n"/>
      <c r="D69" s="25" t="n"/>
      <c r="E69" s="29" t="n"/>
      <c r="F69" s="19">
        <f>IF(E69="","",ROUND(E69*(1+'設定'!$C$11),0))</f>
        <v/>
      </c>
      <c r="G69" s="45" t="n"/>
      <c r="H69" s="25" t="n"/>
    </row>
    <row r="70">
      <c r="A70" s="25" t="n"/>
      <c r="B70" s="17">
        <f>IF(A70="","",IFERROR(INDEX('案件台帳'!$B$6:$B$105,MATCH(A70,'案件台帳'!$A$6:$A$105,0)),""))</f>
        <v/>
      </c>
      <c r="C70" s="25" t="n"/>
      <c r="D70" s="25" t="n"/>
      <c r="E70" s="29" t="n"/>
      <c r="F70" s="19">
        <f>IF(E70="","",ROUND(E70*(1+'設定'!$C$11),0))</f>
        <v/>
      </c>
      <c r="G70" s="45" t="n"/>
      <c r="H70" s="25" t="n"/>
    </row>
    <row r="71">
      <c r="A71" s="25" t="n"/>
      <c r="B71" s="17">
        <f>IF(A71="","",IFERROR(INDEX('案件台帳'!$B$6:$B$105,MATCH(A71,'案件台帳'!$A$6:$A$105,0)),""))</f>
        <v/>
      </c>
      <c r="C71" s="25" t="n"/>
      <c r="D71" s="25" t="n"/>
      <c r="E71" s="29" t="n"/>
      <c r="F71" s="19">
        <f>IF(E71="","",ROUND(E71*(1+'設定'!$C$11),0))</f>
        <v/>
      </c>
      <c r="G71" s="45" t="n"/>
      <c r="H71" s="25" t="n"/>
    </row>
    <row r="72">
      <c r="A72" s="25" t="n"/>
      <c r="B72" s="17">
        <f>IF(A72="","",IFERROR(INDEX('案件台帳'!$B$6:$B$105,MATCH(A72,'案件台帳'!$A$6:$A$105,0)),""))</f>
        <v/>
      </c>
      <c r="C72" s="25" t="n"/>
      <c r="D72" s="25" t="n"/>
      <c r="E72" s="29" t="n"/>
      <c r="F72" s="19">
        <f>IF(E72="","",ROUND(E72*(1+'設定'!$C$11),0))</f>
        <v/>
      </c>
      <c r="G72" s="45" t="n"/>
      <c r="H72" s="25" t="n"/>
    </row>
    <row r="73">
      <c r="A73" s="25" t="n"/>
      <c r="B73" s="17">
        <f>IF(A73="","",IFERROR(INDEX('案件台帳'!$B$6:$B$105,MATCH(A73,'案件台帳'!$A$6:$A$105,0)),""))</f>
        <v/>
      </c>
      <c r="C73" s="25" t="n"/>
      <c r="D73" s="25" t="n"/>
      <c r="E73" s="29" t="n"/>
      <c r="F73" s="19">
        <f>IF(E73="","",ROUND(E73*(1+'設定'!$C$11),0))</f>
        <v/>
      </c>
      <c r="G73" s="45" t="n"/>
      <c r="H73" s="25" t="n"/>
    </row>
    <row r="74">
      <c r="A74" s="25" t="n"/>
      <c r="B74" s="17">
        <f>IF(A74="","",IFERROR(INDEX('案件台帳'!$B$6:$B$105,MATCH(A74,'案件台帳'!$A$6:$A$105,0)),""))</f>
        <v/>
      </c>
      <c r="C74" s="25" t="n"/>
      <c r="D74" s="25" t="n"/>
      <c r="E74" s="29" t="n"/>
      <c r="F74" s="19">
        <f>IF(E74="","",ROUND(E74*(1+'設定'!$C$11),0))</f>
        <v/>
      </c>
      <c r="G74" s="45" t="n"/>
      <c r="H74" s="25" t="n"/>
    </row>
    <row r="75">
      <c r="A75" s="25" t="n"/>
      <c r="B75" s="17">
        <f>IF(A75="","",IFERROR(INDEX('案件台帳'!$B$6:$B$105,MATCH(A75,'案件台帳'!$A$6:$A$105,0)),""))</f>
        <v/>
      </c>
      <c r="C75" s="25" t="n"/>
      <c r="D75" s="25" t="n"/>
      <c r="E75" s="29" t="n"/>
      <c r="F75" s="19">
        <f>IF(E75="","",ROUND(E75*(1+'設定'!$C$11),0))</f>
        <v/>
      </c>
      <c r="G75" s="45" t="n"/>
      <c r="H75" s="25" t="n"/>
    </row>
    <row r="76">
      <c r="A76" s="25" t="n"/>
      <c r="B76" s="17">
        <f>IF(A76="","",IFERROR(INDEX('案件台帳'!$B$6:$B$105,MATCH(A76,'案件台帳'!$A$6:$A$105,0)),""))</f>
        <v/>
      </c>
      <c r="C76" s="25" t="n"/>
      <c r="D76" s="25" t="n"/>
      <c r="E76" s="29" t="n"/>
      <c r="F76" s="19">
        <f>IF(E76="","",ROUND(E76*(1+'設定'!$C$11),0))</f>
        <v/>
      </c>
      <c r="G76" s="45" t="n"/>
      <c r="H76" s="25" t="n"/>
    </row>
    <row r="77">
      <c r="A77" s="25" t="n"/>
      <c r="B77" s="17">
        <f>IF(A77="","",IFERROR(INDEX('案件台帳'!$B$6:$B$105,MATCH(A77,'案件台帳'!$A$6:$A$105,0)),""))</f>
        <v/>
      </c>
      <c r="C77" s="25" t="n"/>
      <c r="D77" s="25" t="n"/>
      <c r="E77" s="29" t="n"/>
      <c r="F77" s="19">
        <f>IF(E77="","",ROUND(E77*(1+'設定'!$C$11),0))</f>
        <v/>
      </c>
      <c r="G77" s="45" t="n"/>
      <c r="H77" s="25" t="n"/>
    </row>
    <row r="78">
      <c r="A78" s="25" t="n"/>
      <c r="B78" s="17">
        <f>IF(A78="","",IFERROR(INDEX('案件台帳'!$B$6:$B$105,MATCH(A78,'案件台帳'!$A$6:$A$105,0)),""))</f>
        <v/>
      </c>
      <c r="C78" s="25" t="n"/>
      <c r="D78" s="25" t="n"/>
      <c r="E78" s="29" t="n"/>
      <c r="F78" s="19">
        <f>IF(E78="","",ROUND(E78*(1+'設定'!$C$11),0))</f>
        <v/>
      </c>
      <c r="G78" s="45" t="n"/>
      <c r="H78" s="25" t="n"/>
    </row>
    <row r="79">
      <c r="A79" s="25" t="n"/>
      <c r="B79" s="17">
        <f>IF(A79="","",IFERROR(INDEX('案件台帳'!$B$6:$B$105,MATCH(A79,'案件台帳'!$A$6:$A$105,0)),""))</f>
        <v/>
      </c>
      <c r="C79" s="25" t="n"/>
      <c r="D79" s="25" t="n"/>
      <c r="E79" s="29" t="n"/>
      <c r="F79" s="19">
        <f>IF(E79="","",ROUND(E79*(1+'設定'!$C$11),0))</f>
        <v/>
      </c>
      <c r="G79" s="45" t="n"/>
      <c r="H79" s="25" t="n"/>
    </row>
    <row r="80">
      <c r="A80" s="25" t="n"/>
      <c r="B80" s="17">
        <f>IF(A80="","",IFERROR(INDEX('案件台帳'!$B$6:$B$105,MATCH(A80,'案件台帳'!$A$6:$A$105,0)),""))</f>
        <v/>
      </c>
      <c r="C80" s="25" t="n"/>
      <c r="D80" s="25" t="n"/>
      <c r="E80" s="29" t="n"/>
      <c r="F80" s="19">
        <f>IF(E80="","",ROUND(E80*(1+'設定'!$C$11),0))</f>
        <v/>
      </c>
      <c r="G80" s="45" t="n"/>
      <c r="H80" s="25" t="n"/>
    </row>
    <row r="81">
      <c r="A81" s="25" t="n"/>
      <c r="B81" s="17">
        <f>IF(A81="","",IFERROR(INDEX('案件台帳'!$B$6:$B$105,MATCH(A81,'案件台帳'!$A$6:$A$105,0)),""))</f>
        <v/>
      </c>
      <c r="C81" s="25" t="n"/>
      <c r="D81" s="25" t="n"/>
      <c r="E81" s="29" t="n"/>
      <c r="F81" s="19">
        <f>IF(E81="","",ROUND(E81*(1+'設定'!$C$11),0))</f>
        <v/>
      </c>
      <c r="G81" s="45" t="n"/>
      <c r="H81" s="25" t="n"/>
    </row>
    <row r="82">
      <c r="A82" s="25" t="n"/>
      <c r="B82" s="17">
        <f>IF(A82="","",IFERROR(INDEX('案件台帳'!$B$6:$B$105,MATCH(A82,'案件台帳'!$A$6:$A$105,0)),""))</f>
        <v/>
      </c>
      <c r="C82" s="25" t="n"/>
      <c r="D82" s="25" t="n"/>
      <c r="E82" s="29" t="n"/>
      <c r="F82" s="19">
        <f>IF(E82="","",ROUND(E82*(1+'設定'!$C$11),0))</f>
        <v/>
      </c>
      <c r="G82" s="45" t="n"/>
      <c r="H82" s="25" t="n"/>
    </row>
    <row r="83">
      <c r="A83" s="25" t="n"/>
      <c r="B83" s="17">
        <f>IF(A83="","",IFERROR(INDEX('案件台帳'!$B$6:$B$105,MATCH(A83,'案件台帳'!$A$6:$A$105,0)),""))</f>
        <v/>
      </c>
      <c r="C83" s="25" t="n"/>
      <c r="D83" s="25" t="n"/>
      <c r="E83" s="29" t="n"/>
      <c r="F83" s="19">
        <f>IF(E83="","",ROUND(E83*(1+'設定'!$C$11),0))</f>
        <v/>
      </c>
      <c r="G83" s="45" t="n"/>
      <c r="H83" s="25" t="n"/>
    </row>
    <row r="84">
      <c r="A84" s="25" t="n"/>
      <c r="B84" s="17">
        <f>IF(A84="","",IFERROR(INDEX('案件台帳'!$B$6:$B$105,MATCH(A84,'案件台帳'!$A$6:$A$105,0)),""))</f>
        <v/>
      </c>
      <c r="C84" s="25" t="n"/>
      <c r="D84" s="25" t="n"/>
      <c r="E84" s="29" t="n"/>
      <c r="F84" s="19">
        <f>IF(E84="","",ROUND(E84*(1+'設定'!$C$11),0))</f>
        <v/>
      </c>
      <c r="G84" s="45" t="n"/>
      <c r="H84" s="25" t="n"/>
    </row>
    <row r="85">
      <c r="A85" s="25" t="n"/>
      <c r="B85" s="17">
        <f>IF(A85="","",IFERROR(INDEX('案件台帳'!$B$6:$B$105,MATCH(A85,'案件台帳'!$A$6:$A$105,0)),""))</f>
        <v/>
      </c>
      <c r="C85" s="25" t="n"/>
      <c r="D85" s="25" t="n"/>
      <c r="E85" s="29" t="n"/>
      <c r="F85" s="19">
        <f>IF(E85="","",ROUND(E85*(1+'設定'!$C$11),0))</f>
        <v/>
      </c>
      <c r="G85" s="45" t="n"/>
      <c r="H85" s="25" t="n"/>
    </row>
    <row r="86">
      <c r="A86" s="25" t="n"/>
      <c r="B86" s="17">
        <f>IF(A86="","",IFERROR(INDEX('案件台帳'!$B$6:$B$105,MATCH(A86,'案件台帳'!$A$6:$A$105,0)),""))</f>
        <v/>
      </c>
      <c r="C86" s="25" t="n"/>
      <c r="D86" s="25" t="n"/>
      <c r="E86" s="29" t="n"/>
      <c r="F86" s="19">
        <f>IF(E86="","",ROUND(E86*(1+'設定'!$C$11),0))</f>
        <v/>
      </c>
      <c r="G86" s="45" t="n"/>
      <c r="H86" s="25" t="n"/>
    </row>
    <row r="87">
      <c r="A87" s="25" t="n"/>
      <c r="B87" s="17">
        <f>IF(A87="","",IFERROR(INDEX('案件台帳'!$B$6:$B$105,MATCH(A87,'案件台帳'!$A$6:$A$105,0)),""))</f>
        <v/>
      </c>
      <c r="C87" s="25" t="n"/>
      <c r="D87" s="25" t="n"/>
      <c r="E87" s="29" t="n"/>
      <c r="F87" s="19">
        <f>IF(E87="","",ROUND(E87*(1+'設定'!$C$11),0))</f>
        <v/>
      </c>
      <c r="G87" s="45" t="n"/>
      <c r="H87" s="25" t="n"/>
    </row>
    <row r="88">
      <c r="A88" s="25" t="n"/>
      <c r="B88" s="17">
        <f>IF(A88="","",IFERROR(INDEX('案件台帳'!$B$6:$B$105,MATCH(A88,'案件台帳'!$A$6:$A$105,0)),""))</f>
        <v/>
      </c>
      <c r="C88" s="25" t="n"/>
      <c r="D88" s="25" t="n"/>
      <c r="E88" s="29" t="n"/>
      <c r="F88" s="19">
        <f>IF(E88="","",ROUND(E88*(1+'設定'!$C$11),0))</f>
        <v/>
      </c>
      <c r="G88" s="45" t="n"/>
      <c r="H88" s="25" t="n"/>
    </row>
    <row r="89">
      <c r="A89" s="25" t="n"/>
      <c r="B89" s="17">
        <f>IF(A89="","",IFERROR(INDEX('案件台帳'!$B$6:$B$105,MATCH(A89,'案件台帳'!$A$6:$A$105,0)),""))</f>
        <v/>
      </c>
      <c r="C89" s="25" t="n"/>
      <c r="D89" s="25" t="n"/>
      <c r="E89" s="29" t="n"/>
      <c r="F89" s="19">
        <f>IF(E89="","",ROUND(E89*(1+'設定'!$C$11),0))</f>
        <v/>
      </c>
      <c r="G89" s="45" t="n"/>
      <c r="H89" s="25" t="n"/>
    </row>
    <row r="90">
      <c r="A90" s="25" t="n"/>
      <c r="B90" s="17">
        <f>IF(A90="","",IFERROR(INDEX('案件台帳'!$B$6:$B$105,MATCH(A90,'案件台帳'!$A$6:$A$105,0)),""))</f>
        <v/>
      </c>
      <c r="C90" s="25" t="n"/>
      <c r="D90" s="25" t="n"/>
      <c r="E90" s="29" t="n"/>
      <c r="F90" s="19">
        <f>IF(E90="","",ROUND(E90*(1+'設定'!$C$11),0))</f>
        <v/>
      </c>
      <c r="G90" s="45" t="n"/>
      <c r="H90" s="25" t="n"/>
    </row>
    <row r="91">
      <c r="A91" s="25" t="n"/>
      <c r="B91" s="17">
        <f>IF(A91="","",IFERROR(INDEX('案件台帳'!$B$6:$B$105,MATCH(A91,'案件台帳'!$A$6:$A$105,0)),""))</f>
        <v/>
      </c>
      <c r="C91" s="25" t="n"/>
      <c r="D91" s="25" t="n"/>
      <c r="E91" s="29" t="n"/>
      <c r="F91" s="19">
        <f>IF(E91="","",ROUND(E91*(1+'設定'!$C$11),0))</f>
        <v/>
      </c>
      <c r="G91" s="45" t="n"/>
      <c r="H91" s="25" t="n"/>
    </row>
    <row r="92">
      <c r="A92" s="25" t="n"/>
      <c r="B92" s="17">
        <f>IF(A92="","",IFERROR(INDEX('案件台帳'!$B$6:$B$105,MATCH(A92,'案件台帳'!$A$6:$A$105,0)),""))</f>
        <v/>
      </c>
      <c r="C92" s="25" t="n"/>
      <c r="D92" s="25" t="n"/>
      <c r="E92" s="29" t="n"/>
      <c r="F92" s="19">
        <f>IF(E92="","",ROUND(E92*(1+'設定'!$C$11),0))</f>
        <v/>
      </c>
      <c r="G92" s="45" t="n"/>
      <c r="H92" s="25" t="n"/>
    </row>
    <row r="93">
      <c r="A93" s="25" t="n"/>
      <c r="B93" s="17">
        <f>IF(A93="","",IFERROR(INDEX('案件台帳'!$B$6:$B$105,MATCH(A93,'案件台帳'!$A$6:$A$105,0)),""))</f>
        <v/>
      </c>
      <c r="C93" s="25" t="n"/>
      <c r="D93" s="25" t="n"/>
      <c r="E93" s="29" t="n"/>
      <c r="F93" s="19">
        <f>IF(E93="","",ROUND(E93*(1+'設定'!$C$11),0))</f>
        <v/>
      </c>
      <c r="G93" s="45" t="n"/>
      <c r="H93" s="25" t="n"/>
    </row>
    <row r="94">
      <c r="A94" s="25" t="n"/>
      <c r="B94" s="17">
        <f>IF(A94="","",IFERROR(INDEX('案件台帳'!$B$6:$B$105,MATCH(A94,'案件台帳'!$A$6:$A$105,0)),""))</f>
        <v/>
      </c>
      <c r="C94" s="25" t="n"/>
      <c r="D94" s="25" t="n"/>
      <c r="E94" s="29" t="n"/>
      <c r="F94" s="19">
        <f>IF(E94="","",ROUND(E94*(1+'設定'!$C$11),0))</f>
        <v/>
      </c>
      <c r="G94" s="45" t="n"/>
      <c r="H94" s="25" t="n"/>
    </row>
    <row r="95">
      <c r="A95" s="25" t="n"/>
      <c r="B95" s="17">
        <f>IF(A95="","",IFERROR(INDEX('案件台帳'!$B$6:$B$105,MATCH(A95,'案件台帳'!$A$6:$A$105,0)),""))</f>
        <v/>
      </c>
      <c r="C95" s="25" t="n"/>
      <c r="D95" s="25" t="n"/>
      <c r="E95" s="29" t="n"/>
      <c r="F95" s="19">
        <f>IF(E95="","",ROUND(E95*(1+'設定'!$C$11),0))</f>
        <v/>
      </c>
      <c r="G95" s="45" t="n"/>
      <c r="H95" s="25" t="n"/>
    </row>
    <row r="96">
      <c r="A96" s="25" t="n"/>
      <c r="B96" s="17">
        <f>IF(A96="","",IFERROR(INDEX('案件台帳'!$B$6:$B$105,MATCH(A96,'案件台帳'!$A$6:$A$105,0)),""))</f>
        <v/>
      </c>
      <c r="C96" s="25" t="n"/>
      <c r="D96" s="25" t="n"/>
      <c r="E96" s="29" t="n"/>
      <c r="F96" s="19">
        <f>IF(E96="","",ROUND(E96*(1+'設定'!$C$11),0))</f>
        <v/>
      </c>
      <c r="G96" s="45" t="n"/>
      <c r="H96" s="25" t="n"/>
    </row>
    <row r="97">
      <c r="A97" s="25" t="n"/>
      <c r="B97" s="17">
        <f>IF(A97="","",IFERROR(INDEX('案件台帳'!$B$6:$B$105,MATCH(A97,'案件台帳'!$A$6:$A$105,0)),""))</f>
        <v/>
      </c>
      <c r="C97" s="25" t="n"/>
      <c r="D97" s="25" t="n"/>
      <c r="E97" s="29" t="n"/>
      <c r="F97" s="19">
        <f>IF(E97="","",ROUND(E97*(1+'設定'!$C$11),0))</f>
        <v/>
      </c>
      <c r="G97" s="45" t="n"/>
      <c r="H97" s="25" t="n"/>
    </row>
    <row r="98">
      <c r="A98" s="25" t="n"/>
      <c r="B98" s="17">
        <f>IF(A98="","",IFERROR(INDEX('案件台帳'!$B$6:$B$105,MATCH(A98,'案件台帳'!$A$6:$A$105,0)),""))</f>
        <v/>
      </c>
      <c r="C98" s="25" t="n"/>
      <c r="D98" s="25" t="n"/>
      <c r="E98" s="29" t="n"/>
      <c r="F98" s="19">
        <f>IF(E98="","",ROUND(E98*(1+'設定'!$C$11),0))</f>
        <v/>
      </c>
      <c r="G98" s="45" t="n"/>
      <c r="H98" s="25" t="n"/>
    </row>
    <row r="99">
      <c r="A99" s="25" t="n"/>
      <c r="B99" s="17">
        <f>IF(A99="","",IFERROR(INDEX('案件台帳'!$B$6:$B$105,MATCH(A99,'案件台帳'!$A$6:$A$105,0)),""))</f>
        <v/>
      </c>
      <c r="C99" s="25" t="n"/>
      <c r="D99" s="25" t="n"/>
      <c r="E99" s="29" t="n"/>
      <c r="F99" s="19">
        <f>IF(E99="","",ROUND(E99*(1+'設定'!$C$11),0))</f>
        <v/>
      </c>
      <c r="G99" s="45" t="n"/>
      <c r="H99" s="25" t="n"/>
    </row>
    <row r="100">
      <c r="A100" s="25" t="n"/>
      <c r="B100" s="17">
        <f>IF(A100="","",IFERROR(INDEX('案件台帳'!$B$6:$B$105,MATCH(A100,'案件台帳'!$A$6:$A$105,0)),""))</f>
        <v/>
      </c>
      <c r="C100" s="25" t="n"/>
      <c r="D100" s="25" t="n"/>
      <c r="E100" s="29" t="n"/>
      <c r="F100" s="19">
        <f>IF(E100="","",ROUND(E100*(1+'設定'!$C$11),0))</f>
        <v/>
      </c>
      <c r="G100" s="45" t="n"/>
      <c r="H100" s="25" t="n"/>
    </row>
    <row r="101">
      <c r="A101" s="25" t="n"/>
      <c r="B101" s="17">
        <f>IF(A101="","",IFERROR(INDEX('案件台帳'!$B$6:$B$105,MATCH(A101,'案件台帳'!$A$6:$A$105,0)),""))</f>
        <v/>
      </c>
      <c r="C101" s="25" t="n"/>
      <c r="D101" s="25" t="n"/>
      <c r="E101" s="29" t="n"/>
      <c r="F101" s="19">
        <f>IF(E101="","",ROUND(E101*(1+'設定'!$C$11),0))</f>
        <v/>
      </c>
      <c r="G101" s="45" t="n"/>
      <c r="H101" s="25" t="n"/>
    </row>
    <row r="102">
      <c r="A102" s="25" t="n"/>
      <c r="B102" s="17">
        <f>IF(A102="","",IFERROR(INDEX('案件台帳'!$B$6:$B$105,MATCH(A102,'案件台帳'!$A$6:$A$105,0)),""))</f>
        <v/>
      </c>
      <c r="C102" s="25" t="n"/>
      <c r="D102" s="25" t="n"/>
      <c r="E102" s="29" t="n"/>
      <c r="F102" s="19">
        <f>IF(E102="","",ROUND(E102*(1+'設定'!$C$11),0))</f>
        <v/>
      </c>
      <c r="G102" s="45" t="n"/>
      <c r="H102" s="25" t="n"/>
    </row>
    <row r="103">
      <c r="A103" s="25" t="n"/>
      <c r="B103" s="17">
        <f>IF(A103="","",IFERROR(INDEX('案件台帳'!$B$6:$B$105,MATCH(A103,'案件台帳'!$A$6:$A$105,0)),""))</f>
        <v/>
      </c>
      <c r="C103" s="25" t="n"/>
      <c r="D103" s="25" t="n"/>
      <c r="E103" s="29" t="n"/>
      <c r="F103" s="19">
        <f>IF(E103="","",ROUND(E103*(1+'設定'!$C$11),0))</f>
        <v/>
      </c>
      <c r="G103" s="45" t="n"/>
      <c r="H103" s="25" t="n"/>
    </row>
    <row r="104">
      <c r="A104" s="25" t="n"/>
      <c r="B104" s="17">
        <f>IF(A104="","",IFERROR(INDEX('案件台帳'!$B$6:$B$105,MATCH(A104,'案件台帳'!$A$6:$A$105,0)),""))</f>
        <v/>
      </c>
      <c r="C104" s="25" t="n"/>
      <c r="D104" s="25" t="n"/>
      <c r="E104" s="29" t="n"/>
      <c r="F104" s="19">
        <f>IF(E104="","",ROUND(E104*(1+'設定'!$C$11),0))</f>
        <v/>
      </c>
      <c r="G104" s="45" t="n"/>
      <c r="H104" s="25" t="n"/>
    </row>
    <row r="105">
      <c r="A105" s="25" t="n"/>
      <c r="B105" s="17">
        <f>IF(A105="","",IFERROR(INDEX('案件台帳'!$B$6:$B$105,MATCH(A105,'案件台帳'!$A$6:$A$105,0)),""))</f>
        <v/>
      </c>
      <c r="C105" s="25" t="n"/>
      <c r="D105" s="25" t="n"/>
      <c r="E105" s="29" t="n"/>
      <c r="F105" s="19">
        <f>IF(E105="","",ROUND(E105*(1+'設定'!$C$11),0))</f>
        <v/>
      </c>
      <c r="G105" s="45" t="n"/>
      <c r="H105" s="25" t="n"/>
    </row>
    <row r="106">
      <c r="A106" s="25" t="n"/>
      <c r="B106" s="17">
        <f>IF(A106="","",IFERROR(INDEX('案件台帳'!$B$6:$B$105,MATCH(A106,'案件台帳'!$A$6:$A$105,0)),""))</f>
        <v/>
      </c>
      <c r="C106" s="25" t="n"/>
      <c r="D106" s="25" t="n"/>
      <c r="E106" s="29" t="n"/>
      <c r="F106" s="19">
        <f>IF(E106="","",ROUND(E106*(1+'設定'!$C$11),0))</f>
        <v/>
      </c>
      <c r="G106" s="45" t="n"/>
      <c r="H106" s="25" t="n"/>
    </row>
    <row r="107">
      <c r="A107" s="25" t="n"/>
      <c r="B107" s="17">
        <f>IF(A107="","",IFERROR(INDEX('案件台帳'!$B$6:$B$105,MATCH(A107,'案件台帳'!$A$6:$A$105,0)),""))</f>
        <v/>
      </c>
      <c r="C107" s="25" t="n"/>
      <c r="D107" s="25" t="n"/>
      <c r="E107" s="29" t="n"/>
      <c r="F107" s="19">
        <f>IF(E107="","",ROUND(E107*(1+'設定'!$C$11),0))</f>
        <v/>
      </c>
      <c r="G107" s="45" t="n"/>
      <c r="H107" s="25" t="n"/>
    </row>
    <row r="108">
      <c r="A108" s="25" t="n"/>
      <c r="B108" s="17">
        <f>IF(A108="","",IFERROR(INDEX('案件台帳'!$B$6:$B$105,MATCH(A108,'案件台帳'!$A$6:$A$105,0)),""))</f>
        <v/>
      </c>
      <c r="C108" s="25" t="n"/>
      <c r="D108" s="25" t="n"/>
      <c r="E108" s="29" t="n"/>
      <c r="F108" s="19">
        <f>IF(E108="","",ROUND(E108*(1+'設定'!$C$11),0))</f>
        <v/>
      </c>
      <c r="G108" s="45" t="n"/>
      <c r="H108" s="25" t="n"/>
    </row>
    <row r="109">
      <c r="A109" s="25" t="n"/>
      <c r="B109" s="17">
        <f>IF(A109="","",IFERROR(INDEX('案件台帳'!$B$6:$B$105,MATCH(A109,'案件台帳'!$A$6:$A$105,0)),""))</f>
        <v/>
      </c>
      <c r="C109" s="25" t="n"/>
      <c r="D109" s="25" t="n"/>
      <c r="E109" s="29" t="n"/>
      <c r="F109" s="19">
        <f>IF(E109="","",ROUND(E109*(1+'設定'!$C$11),0))</f>
        <v/>
      </c>
      <c r="G109" s="45" t="n"/>
      <c r="H109" s="25" t="n"/>
    </row>
    <row r="110">
      <c r="A110" s="25" t="n"/>
      <c r="B110" s="17">
        <f>IF(A110="","",IFERROR(INDEX('案件台帳'!$B$6:$B$105,MATCH(A110,'案件台帳'!$A$6:$A$105,0)),""))</f>
        <v/>
      </c>
      <c r="C110" s="25" t="n"/>
      <c r="D110" s="25" t="n"/>
      <c r="E110" s="29" t="n"/>
      <c r="F110" s="19">
        <f>IF(E110="","",ROUND(E110*(1+'設定'!$C$11),0))</f>
        <v/>
      </c>
      <c r="G110" s="45" t="n"/>
      <c r="H110" s="25" t="n"/>
    </row>
    <row r="111">
      <c r="A111" s="25" t="n"/>
      <c r="B111" s="17">
        <f>IF(A111="","",IFERROR(INDEX('案件台帳'!$B$6:$B$105,MATCH(A111,'案件台帳'!$A$6:$A$105,0)),""))</f>
        <v/>
      </c>
      <c r="C111" s="25" t="n"/>
      <c r="D111" s="25" t="n"/>
      <c r="E111" s="29" t="n"/>
      <c r="F111" s="19">
        <f>IF(E111="","",ROUND(E111*(1+'設定'!$C$11),0))</f>
        <v/>
      </c>
      <c r="G111" s="45" t="n"/>
      <c r="H111" s="25" t="n"/>
    </row>
    <row r="112">
      <c r="A112" s="25" t="n"/>
      <c r="B112" s="17">
        <f>IF(A112="","",IFERROR(INDEX('案件台帳'!$B$6:$B$105,MATCH(A112,'案件台帳'!$A$6:$A$105,0)),""))</f>
        <v/>
      </c>
      <c r="C112" s="25" t="n"/>
      <c r="D112" s="25" t="n"/>
      <c r="E112" s="29" t="n"/>
      <c r="F112" s="19">
        <f>IF(E112="","",ROUND(E112*(1+'設定'!$C$11),0))</f>
        <v/>
      </c>
      <c r="G112" s="45" t="n"/>
      <c r="H112" s="25" t="n"/>
    </row>
    <row r="113">
      <c r="A113" s="25" t="n"/>
      <c r="B113" s="17">
        <f>IF(A113="","",IFERROR(INDEX('案件台帳'!$B$6:$B$105,MATCH(A113,'案件台帳'!$A$6:$A$105,0)),""))</f>
        <v/>
      </c>
      <c r="C113" s="25" t="n"/>
      <c r="D113" s="25" t="n"/>
      <c r="E113" s="29" t="n"/>
      <c r="F113" s="19">
        <f>IF(E113="","",ROUND(E113*(1+'設定'!$C$11),0))</f>
        <v/>
      </c>
      <c r="G113" s="45" t="n"/>
      <c r="H113" s="25" t="n"/>
    </row>
    <row r="114">
      <c r="A114" s="25" t="n"/>
      <c r="B114" s="17">
        <f>IF(A114="","",IFERROR(INDEX('案件台帳'!$B$6:$B$105,MATCH(A114,'案件台帳'!$A$6:$A$105,0)),""))</f>
        <v/>
      </c>
      <c r="C114" s="25" t="n"/>
      <c r="D114" s="25" t="n"/>
      <c r="E114" s="29" t="n"/>
      <c r="F114" s="19">
        <f>IF(E114="","",ROUND(E114*(1+'設定'!$C$11),0))</f>
        <v/>
      </c>
      <c r="G114" s="45" t="n"/>
      <c r="H114" s="25" t="n"/>
    </row>
    <row r="115">
      <c r="A115" s="25" t="n"/>
      <c r="B115" s="17">
        <f>IF(A115="","",IFERROR(INDEX('案件台帳'!$B$6:$B$105,MATCH(A115,'案件台帳'!$A$6:$A$105,0)),""))</f>
        <v/>
      </c>
      <c r="C115" s="25" t="n"/>
      <c r="D115" s="25" t="n"/>
      <c r="E115" s="29" t="n"/>
      <c r="F115" s="19">
        <f>IF(E115="","",ROUND(E115*(1+'設定'!$C$11),0))</f>
        <v/>
      </c>
      <c r="G115" s="45" t="n"/>
      <c r="H115" s="25" t="n"/>
    </row>
    <row r="116">
      <c r="A116" s="25" t="n"/>
      <c r="B116" s="17">
        <f>IF(A116="","",IFERROR(INDEX('案件台帳'!$B$6:$B$105,MATCH(A116,'案件台帳'!$A$6:$A$105,0)),""))</f>
        <v/>
      </c>
      <c r="C116" s="25" t="n"/>
      <c r="D116" s="25" t="n"/>
      <c r="E116" s="29" t="n"/>
      <c r="F116" s="19">
        <f>IF(E116="","",ROUND(E116*(1+'設定'!$C$11),0))</f>
        <v/>
      </c>
      <c r="G116" s="45" t="n"/>
      <c r="H116" s="25" t="n"/>
    </row>
    <row r="117">
      <c r="A117" s="25" t="n"/>
      <c r="B117" s="17">
        <f>IF(A117="","",IFERROR(INDEX('案件台帳'!$B$6:$B$105,MATCH(A117,'案件台帳'!$A$6:$A$105,0)),""))</f>
        <v/>
      </c>
      <c r="C117" s="25" t="n"/>
      <c r="D117" s="25" t="n"/>
      <c r="E117" s="29" t="n"/>
      <c r="F117" s="19">
        <f>IF(E117="","",ROUND(E117*(1+'設定'!$C$11),0))</f>
        <v/>
      </c>
      <c r="G117" s="45" t="n"/>
      <c r="H117" s="25" t="n"/>
    </row>
    <row r="118">
      <c r="A118" s="25" t="n"/>
      <c r="B118" s="17">
        <f>IF(A118="","",IFERROR(INDEX('案件台帳'!$B$6:$B$105,MATCH(A118,'案件台帳'!$A$6:$A$105,0)),""))</f>
        <v/>
      </c>
      <c r="C118" s="25" t="n"/>
      <c r="D118" s="25" t="n"/>
      <c r="E118" s="29" t="n"/>
      <c r="F118" s="19">
        <f>IF(E118="","",ROUND(E118*(1+'設定'!$C$11),0))</f>
        <v/>
      </c>
      <c r="G118" s="45" t="n"/>
      <c r="H118" s="25" t="n"/>
    </row>
    <row r="119">
      <c r="A119" s="25" t="n"/>
      <c r="B119" s="17">
        <f>IF(A119="","",IFERROR(INDEX('案件台帳'!$B$6:$B$105,MATCH(A119,'案件台帳'!$A$6:$A$105,0)),""))</f>
        <v/>
      </c>
      <c r="C119" s="25" t="n"/>
      <c r="D119" s="25" t="n"/>
      <c r="E119" s="29" t="n"/>
      <c r="F119" s="19">
        <f>IF(E119="","",ROUND(E119*(1+'設定'!$C$11),0))</f>
        <v/>
      </c>
      <c r="G119" s="45" t="n"/>
      <c r="H119" s="25" t="n"/>
    </row>
    <row r="120">
      <c r="A120" s="25" t="n"/>
      <c r="B120" s="17">
        <f>IF(A120="","",IFERROR(INDEX('案件台帳'!$B$6:$B$105,MATCH(A120,'案件台帳'!$A$6:$A$105,0)),""))</f>
        <v/>
      </c>
      <c r="C120" s="25" t="n"/>
      <c r="D120" s="25" t="n"/>
      <c r="E120" s="29" t="n"/>
      <c r="F120" s="19">
        <f>IF(E120="","",ROUND(E120*(1+'設定'!$C$11),0))</f>
        <v/>
      </c>
      <c r="G120" s="45" t="n"/>
      <c r="H120" s="25" t="n"/>
    </row>
    <row r="121">
      <c r="A121" s="25" t="n"/>
      <c r="B121" s="17">
        <f>IF(A121="","",IFERROR(INDEX('案件台帳'!$B$6:$B$105,MATCH(A121,'案件台帳'!$A$6:$A$105,0)),""))</f>
        <v/>
      </c>
      <c r="C121" s="25" t="n"/>
      <c r="D121" s="25" t="n"/>
      <c r="E121" s="29" t="n"/>
      <c r="F121" s="19">
        <f>IF(E121="","",ROUND(E121*(1+'設定'!$C$11),0))</f>
        <v/>
      </c>
      <c r="G121" s="45" t="n"/>
      <c r="H121" s="25" t="n"/>
    </row>
    <row r="122">
      <c r="A122" s="25" t="n"/>
      <c r="B122" s="17">
        <f>IF(A122="","",IFERROR(INDEX('案件台帳'!$B$6:$B$105,MATCH(A122,'案件台帳'!$A$6:$A$105,0)),""))</f>
        <v/>
      </c>
      <c r="C122" s="25" t="n"/>
      <c r="D122" s="25" t="n"/>
      <c r="E122" s="29" t="n"/>
      <c r="F122" s="19">
        <f>IF(E122="","",ROUND(E122*(1+'設定'!$C$11),0))</f>
        <v/>
      </c>
      <c r="G122" s="45" t="n"/>
      <c r="H122" s="25" t="n"/>
    </row>
    <row r="123">
      <c r="A123" s="25" t="n"/>
      <c r="B123" s="17">
        <f>IF(A123="","",IFERROR(INDEX('案件台帳'!$B$6:$B$105,MATCH(A123,'案件台帳'!$A$6:$A$105,0)),""))</f>
        <v/>
      </c>
      <c r="C123" s="25" t="n"/>
      <c r="D123" s="25" t="n"/>
      <c r="E123" s="29" t="n"/>
      <c r="F123" s="19">
        <f>IF(E123="","",ROUND(E123*(1+'設定'!$C$11),0))</f>
        <v/>
      </c>
      <c r="G123" s="45" t="n"/>
      <c r="H123" s="25" t="n"/>
    </row>
    <row r="124">
      <c r="A124" s="25" t="n"/>
      <c r="B124" s="17">
        <f>IF(A124="","",IFERROR(INDEX('案件台帳'!$B$6:$B$105,MATCH(A124,'案件台帳'!$A$6:$A$105,0)),""))</f>
        <v/>
      </c>
      <c r="C124" s="25" t="n"/>
      <c r="D124" s="25" t="n"/>
      <c r="E124" s="29" t="n"/>
      <c r="F124" s="19">
        <f>IF(E124="","",ROUND(E124*(1+'設定'!$C$11),0))</f>
        <v/>
      </c>
      <c r="G124" s="45" t="n"/>
      <c r="H124" s="25" t="n"/>
    </row>
    <row r="125">
      <c r="A125" s="25" t="n"/>
      <c r="B125" s="17">
        <f>IF(A125="","",IFERROR(INDEX('案件台帳'!$B$6:$B$105,MATCH(A125,'案件台帳'!$A$6:$A$105,0)),""))</f>
        <v/>
      </c>
      <c r="C125" s="25" t="n"/>
      <c r="D125" s="25" t="n"/>
      <c r="E125" s="29" t="n"/>
      <c r="F125" s="19">
        <f>IF(E125="","",ROUND(E125*(1+'設定'!$C$11),0))</f>
        <v/>
      </c>
      <c r="G125" s="45" t="n"/>
      <c r="H125" s="25" t="n"/>
    </row>
    <row r="126">
      <c r="A126" s="25" t="n"/>
      <c r="B126" s="17">
        <f>IF(A126="","",IFERROR(INDEX('案件台帳'!$B$6:$B$105,MATCH(A126,'案件台帳'!$A$6:$A$105,0)),""))</f>
        <v/>
      </c>
      <c r="C126" s="25" t="n"/>
      <c r="D126" s="25" t="n"/>
      <c r="E126" s="29" t="n"/>
      <c r="F126" s="19">
        <f>IF(E126="","",ROUND(E126*(1+'設定'!$C$11),0))</f>
        <v/>
      </c>
      <c r="G126" s="45" t="n"/>
      <c r="H126" s="25" t="n"/>
    </row>
    <row r="127">
      <c r="A127" s="25" t="n"/>
      <c r="B127" s="17">
        <f>IF(A127="","",IFERROR(INDEX('案件台帳'!$B$6:$B$105,MATCH(A127,'案件台帳'!$A$6:$A$105,0)),""))</f>
        <v/>
      </c>
      <c r="C127" s="25" t="n"/>
      <c r="D127" s="25" t="n"/>
      <c r="E127" s="29" t="n"/>
      <c r="F127" s="19">
        <f>IF(E127="","",ROUND(E127*(1+'設定'!$C$11),0))</f>
        <v/>
      </c>
      <c r="G127" s="45" t="n"/>
      <c r="H127" s="25" t="n"/>
    </row>
    <row r="128">
      <c r="A128" s="25" t="n"/>
      <c r="B128" s="17">
        <f>IF(A128="","",IFERROR(INDEX('案件台帳'!$B$6:$B$105,MATCH(A128,'案件台帳'!$A$6:$A$105,0)),""))</f>
        <v/>
      </c>
      <c r="C128" s="25" t="n"/>
      <c r="D128" s="25" t="n"/>
      <c r="E128" s="29" t="n"/>
      <c r="F128" s="19">
        <f>IF(E128="","",ROUND(E128*(1+'設定'!$C$11),0))</f>
        <v/>
      </c>
      <c r="G128" s="45" t="n"/>
      <c r="H128" s="25" t="n"/>
    </row>
    <row r="129">
      <c r="A129" s="25" t="n"/>
      <c r="B129" s="17">
        <f>IF(A129="","",IFERROR(INDEX('案件台帳'!$B$6:$B$105,MATCH(A129,'案件台帳'!$A$6:$A$105,0)),""))</f>
        <v/>
      </c>
      <c r="C129" s="25" t="n"/>
      <c r="D129" s="25" t="n"/>
      <c r="E129" s="29" t="n"/>
      <c r="F129" s="19">
        <f>IF(E129="","",ROUND(E129*(1+'設定'!$C$11),0))</f>
        <v/>
      </c>
      <c r="G129" s="45" t="n"/>
      <c r="H129" s="25" t="n"/>
    </row>
    <row r="130">
      <c r="A130" s="25" t="n"/>
      <c r="B130" s="17">
        <f>IF(A130="","",IFERROR(INDEX('案件台帳'!$B$6:$B$105,MATCH(A130,'案件台帳'!$A$6:$A$105,0)),""))</f>
        <v/>
      </c>
      <c r="C130" s="25" t="n"/>
      <c r="D130" s="25" t="n"/>
      <c r="E130" s="29" t="n"/>
      <c r="F130" s="19">
        <f>IF(E130="","",ROUND(E130*(1+'設定'!$C$11),0))</f>
        <v/>
      </c>
      <c r="G130" s="45" t="n"/>
      <c r="H130" s="25" t="n"/>
    </row>
    <row r="131">
      <c r="A131" s="25" t="n"/>
      <c r="B131" s="17">
        <f>IF(A131="","",IFERROR(INDEX('案件台帳'!$B$6:$B$105,MATCH(A131,'案件台帳'!$A$6:$A$105,0)),""))</f>
        <v/>
      </c>
      <c r="C131" s="25" t="n"/>
      <c r="D131" s="25" t="n"/>
      <c r="E131" s="29" t="n"/>
      <c r="F131" s="19">
        <f>IF(E131="","",ROUND(E131*(1+'設定'!$C$11),0))</f>
        <v/>
      </c>
      <c r="G131" s="45" t="n"/>
      <c r="H131" s="25" t="n"/>
    </row>
    <row r="132">
      <c r="A132" s="25" t="n"/>
      <c r="B132" s="17">
        <f>IF(A132="","",IFERROR(INDEX('案件台帳'!$B$6:$B$105,MATCH(A132,'案件台帳'!$A$6:$A$105,0)),""))</f>
        <v/>
      </c>
      <c r="C132" s="25" t="n"/>
      <c r="D132" s="25" t="n"/>
      <c r="E132" s="29" t="n"/>
      <c r="F132" s="19">
        <f>IF(E132="","",ROUND(E132*(1+'設定'!$C$11),0))</f>
        <v/>
      </c>
      <c r="G132" s="45" t="n"/>
      <c r="H132" s="25" t="n"/>
    </row>
    <row r="133">
      <c r="A133" s="25" t="n"/>
      <c r="B133" s="17">
        <f>IF(A133="","",IFERROR(INDEX('案件台帳'!$B$6:$B$105,MATCH(A133,'案件台帳'!$A$6:$A$105,0)),""))</f>
        <v/>
      </c>
      <c r="C133" s="25" t="n"/>
      <c r="D133" s="25" t="n"/>
      <c r="E133" s="29" t="n"/>
      <c r="F133" s="19">
        <f>IF(E133="","",ROUND(E133*(1+'設定'!$C$11),0))</f>
        <v/>
      </c>
      <c r="G133" s="45" t="n"/>
      <c r="H133" s="25" t="n"/>
    </row>
    <row r="134">
      <c r="A134" s="25" t="n"/>
      <c r="B134" s="17">
        <f>IF(A134="","",IFERROR(INDEX('案件台帳'!$B$6:$B$105,MATCH(A134,'案件台帳'!$A$6:$A$105,0)),""))</f>
        <v/>
      </c>
      <c r="C134" s="25" t="n"/>
      <c r="D134" s="25" t="n"/>
      <c r="E134" s="29" t="n"/>
      <c r="F134" s="19">
        <f>IF(E134="","",ROUND(E134*(1+'設定'!$C$11),0))</f>
        <v/>
      </c>
      <c r="G134" s="45" t="n"/>
      <c r="H134" s="25" t="n"/>
    </row>
    <row r="135">
      <c r="A135" s="25" t="n"/>
      <c r="B135" s="17">
        <f>IF(A135="","",IFERROR(INDEX('案件台帳'!$B$6:$B$105,MATCH(A135,'案件台帳'!$A$6:$A$105,0)),""))</f>
        <v/>
      </c>
      <c r="C135" s="25" t="n"/>
      <c r="D135" s="25" t="n"/>
      <c r="E135" s="29" t="n"/>
      <c r="F135" s="19">
        <f>IF(E135="","",ROUND(E135*(1+'設定'!$C$11),0))</f>
        <v/>
      </c>
      <c r="G135" s="45" t="n"/>
      <c r="H135" s="25" t="n"/>
    </row>
    <row r="136">
      <c r="A136" s="25" t="n"/>
      <c r="B136" s="17">
        <f>IF(A136="","",IFERROR(INDEX('案件台帳'!$B$6:$B$105,MATCH(A136,'案件台帳'!$A$6:$A$105,0)),""))</f>
        <v/>
      </c>
      <c r="C136" s="25" t="n"/>
      <c r="D136" s="25" t="n"/>
      <c r="E136" s="29" t="n"/>
      <c r="F136" s="19">
        <f>IF(E136="","",ROUND(E136*(1+'設定'!$C$11),0))</f>
        <v/>
      </c>
      <c r="G136" s="45" t="n"/>
      <c r="H136" s="25" t="n"/>
    </row>
    <row r="137">
      <c r="A137" s="25" t="n"/>
      <c r="B137" s="17">
        <f>IF(A137="","",IFERROR(INDEX('案件台帳'!$B$6:$B$105,MATCH(A137,'案件台帳'!$A$6:$A$105,0)),""))</f>
        <v/>
      </c>
      <c r="C137" s="25" t="n"/>
      <c r="D137" s="25" t="n"/>
      <c r="E137" s="29" t="n"/>
      <c r="F137" s="19">
        <f>IF(E137="","",ROUND(E137*(1+'設定'!$C$11),0))</f>
        <v/>
      </c>
      <c r="G137" s="45" t="n"/>
      <c r="H137" s="25" t="n"/>
    </row>
    <row r="138">
      <c r="A138" s="25" t="n"/>
      <c r="B138" s="17">
        <f>IF(A138="","",IFERROR(INDEX('案件台帳'!$B$6:$B$105,MATCH(A138,'案件台帳'!$A$6:$A$105,0)),""))</f>
        <v/>
      </c>
      <c r="C138" s="25" t="n"/>
      <c r="D138" s="25" t="n"/>
      <c r="E138" s="29" t="n"/>
      <c r="F138" s="19">
        <f>IF(E138="","",ROUND(E138*(1+'設定'!$C$11),0))</f>
        <v/>
      </c>
      <c r="G138" s="45" t="n"/>
      <c r="H138" s="25" t="n"/>
    </row>
    <row r="139">
      <c r="A139" s="25" t="n"/>
      <c r="B139" s="17">
        <f>IF(A139="","",IFERROR(INDEX('案件台帳'!$B$6:$B$105,MATCH(A139,'案件台帳'!$A$6:$A$105,0)),""))</f>
        <v/>
      </c>
      <c r="C139" s="25" t="n"/>
      <c r="D139" s="25" t="n"/>
      <c r="E139" s="29" t="n"/>
      <c r="F139" s="19">
        <f>IF(E139="","",ROUND(E139*(1+'設定'!$C$11),0))</f>
        <v/>
      </c>
      <c r="G139" s="45" t="n"/>
      <c r="H139" s="25" t="n"/>
    </row>
    <row r="140">
      <c r="A140" s="25" t="n"/>
      <c r="B140" s="17">
        <f>IF(A140="","",IFERROR(INDEX('案件台帳'!$B$6:$B$105,MATCH(A140,'案件台帳'!$A$6:$A$105,0)),""))</f>
        <v/>
      </c>
      <c r="C140" s="25" t="n"/>
      <c r="D140" s="25" t="n"/>
      <c r="E140" s="29" t="n"/>
      <c r="F140" s="19">
        <f>IF(E140="","",ROUND(E140*(1+'設定'!$C$11),0))</f>
        <v/>
      </c>
      <c r="G140" s="45" t="n"/>
      <c r="H140" s="25" t="n"/>
    </row>
    <row r="141">
      <c r="A141" s="25" t="n"/>
      <c r="B141" s="17">
        <f>IF(A141="","",IFERROR(INDEX('案件台帳'!$B$6:$B$105,MATCH(A141,'案件台帳'!$A$6:$A$105,0)),""))</f>
        <v/>
      </c>
      <c r="C141" s="25" t="n"/>
      <c r="D141" s="25" t="n"/>
      <c r="E141" s="29" t="n"/>
      <c r="F141" s="19">
        <f>IF(E141="","",ROUND(E141*(1+'設定'!$C$11),0))</f>
        <v/>
      </c>
      <c r="G141" s="45" t="n"/>
      <c r="H141" s="25" t="n"/>
    </row>
    <row r="142">
      <c r="A142" s="25" t="n"/>
      <c r="B142" s="17">
        <f>IF(A142="","",IFERROR(INDEX('案件台帳'!$B$6:$B$105,MATCH(A142,'案件台帳'!$A$6:$A$105,0)),""))</f>
        <v/>
      </c>
      <c r="C142" s="25" t="n"/>
      <c r="D142" s="25" t="n"/>
      <c r="E142" s="29" t="n"/>
      <c r="F142" s="19">
        <f>IF(E142="","",ROUND(E142*(1+'設定'!$C$11),0))</f>
        <v/>
      </c>
      <c r="G142" s="45" t="n"/>
      <c r="H142" s="25" t="n"/>
    </row>
    <row r="143">
      <c r="A143" s="25" t="n"/>
      <c r="B143" s="17">
        <f>IF(A143="","",IFERROR(INDEX('案件台帳'!$B$6:$B$105,MATCH(A143,'案件台帳'!$A$6:$A$105,0)),""))</f>
        <v/>
      </c>
      <c r="C143" s="25" t="n"/>
      <c r="D143" s="25" t="n"/>
      <c r="E143" s="29" t="n"/>
      <c r="F143" s="19">
        <f>IF(E143="","",ROUND(E143*(1+'設定'!$C$11),0))</f>
        <v/>
      </c>
      <c r="G143" s="45" t="n"/>
      <c r="H143" s="25" t="n"/>
    </row>
    <row r="144">
      <c r="A144" s="25" t="n"/>
      <c r="B144" s="17">
        <f>IF(A144="","",IFERROR(INDEX('案件台帳'!$B$6:$B$105,MATCH(A144,'案件台帳'!$A$6:$A$105,0)),""))</f>
        <v/>
      </c>
      <c r="C144" s="25" t="n"/>
      <c r="D144" s="25" t="n"/>
      <c r="E144" s="29" t="n"/>
      <c r="F144" s="19">
        <f>IF(E144="","",ROUND(E144*(1+'設定'!$C$11),0))</f>
        <v/>
      </c>
      <c r="G144" s="45" t="n"/>
      <c r="H144" s="25" t="n"/>
    </row>
    <row r="145">
      <c r="A145" s="25" t="n"/>
      <c r="B145" s="17">
        <f>IF(A145="","",IFERROR(INDEX('案件台帳'!$B$6:$B$105,MATCH(A145,'案件台帳'!$A$6:$A$105,0)),""))</f>
        <v/>
      </c>
      <c r="C145" s="25" t="n"/>
      <c r="D145" s="25" t="n"/>
      <c r="E145" s="29" t="n"/>
      <c r="F145" s="19">
        <f>IF(E145="","",ROUND(E145*(1+'設定'!$C$11),0))</f>
        <v/>
      </c>
      <c r="G145" s="45" t="n"/>
      <c r="H145" s="25" t="n"/>
    </row>
    <row r="146">
      <c r="A146" s="25" t="n"/>
      <c r="B146" s="17">
        <f>IF(A146="","",IFERROR(INDEX('案件台帳'!$B$6:$B$105,MATCH(A146,'案件台帳'!$A$6:$A$105,0)),""))</f>
        <v/>
      </c>
      <c r="C146" s="25" t="n"/>
      <c r="D146" s="25" t="n"/>
      <c r="E146" s="29" t="n"/>
      <c r="F146" s="19">
        <f>IF(E146="","",ROUND(E146*(1+'設定'!$C$11),0))</f>
        <v/>
      </c>
      <c r="G146" s="45" t="n"/>
      <c r="H146" s="25" t="n"/>
    </row>
    <row r="147">
      <c r="A147" s="25" t="n"/>
      <c r="B147" s="17">
        <f>IF(A147="","",IFERROR(INDEX('案件台帳'!$B$6:$B$105,MATCH(A147,'案件台帳'!$A$6:$A$105,0)),""))</f>
        <v/>
      </c>
      <c r="C147" s="25" t="n"/>
      <c r="D147" s="25" t="n"/>
      <c r="E147" s="29" t="n"/>
      <c r="F147" s="19">
        <f>IF(E147="","",ROUND(E147*(1+'設定'!$C$11),0))</f>
        <v/>
      </c>
      <c r="G147" s="45" t="n"/>
      <c r="H147" s="25" t="n"/>
    </row>
    <row r="148">
      <c r="A148" s="25" t="n"/>
      <c r="B148" s="17">
        <f>IF(A148="","",IFERROR(INDEX('案件台帳'!$B$6:$B$105,MATCH(A148,'案件台帳'!$A$6:$A$105,0)),""))</f>
        <v/>
      </c>
      <c r="C148" s="25" t="n"/>
      <c r="D148" s="25" t="n"/>
      <c r="E148" s="29" t="n"/>
      <c r="F148" s="19">
        <f>IF(E148="","",ROUND(E148*(1+'設定'!$C$11),0))</f>
        <v/>
      </c>
      <c r="G148" s="45" t="n"/>
      <c r="H148" s="25" t="n"/>
    </row>
    <row r="149">
      <c r="A149" s="25" t="n"/>
      <c r="B149" s="17">
        <f>IF(A149="","",IFERROR(INDEX('案件台帳'!$B$6:$B$105,MATCH(A149,'案件台帳'!$A$6:$A$105,0)),""))</f>
        <v/>
      </c>
      <c r="C149" s="25" t="n"/>
      <c r="D149" s="25" t="n"/>
      <c r="E149" s="29" t="n"/>
      <c r="F149" s="19">
        <f>IF(E149="","",ROUND(E149*(1+'設定'!$C$11),0))</f>
        <v/>
      </c>
      <c r="G149" s="45" t="n"/>
      <c r="H149" s="25" t="n"/>
    </row>
    <row r="150">
      <c r="A150" s="25" t="n"/>
      <c r="B150" s="17">
        <f>IF(A150="","",IFERROR(INDEX('案件台帳'!$B$6:$B$105,MATCH(A150,'案件台帳'!$A$6:$A$105,0)),""))</f>
        <v/>
      </c>
      <c r="C150" s="25" t="n"/>
      <c r="D150" s="25" t="n"/>
      <c r="E150" s="29" t="n"/>
      <c r="F150" s="19">
        <f>IF(E150="","",ROUND(E150*(1+'設定'!$C$11),0))</f>
        <v/>
      </c>
      <c r="G150" s="45" t="n"/>
      <c r="H150" s="25" t="n"/>
    </row>
    <row r="151">
      <c r="A151" s="25" t="n"/>
      <c r="B151" s="17">
        <f>IF(A151="","",IFERROR(INDEX('案件台帳'!$B$6:$B$105,MATCH(A151,'案件台帳'!$A$6:$A$105,0)),""))</f>
        <v/>
      </c>
      <c r="C151" s="25" t="n"/>
      <c r="D151" s="25" t="n"/>
      <c r="E151" s="29" t="n"/>
      <c r="F151" s="19">
        <f>IF(E151="","",ROUND(E151*(1+'設定'!$C$11),0))</f>
        <v/>
      </c>
      <c r="G151" s="45" t="n"/>
      <c r="H151" s="25" t="n"/>
    </row>
    <row r="152">
      <c r="A152" s="25" t="n"/>
      <c r="B152" s="17">
        <f>IF(A152="","",IFERROR(INDEX('案件台帳'!$B$6:$B$105,MATCH(A152,'案件台帳'!$A$6:$A$105,0)),""))</f>
        <v/>
      </c>
      <c r="C152" s="25" t="n"/>
      <c r="D152" s="25" t="n"/>
      <c r="E152" s="29" t="n"/>
      <c r="F152" s="19">
        <f>IF(E152="","",ROUND(E152*(1+'設定'!$C$11),0))</f>
        <v/>
      </c>
      <c r="G152" s="45" t="n"/>
      <c r="H152" s="25" t="n"/>
    </row>
    <row r="153">
      <c r="A153" s="25" t="n"/>
      <c r="B153" s="17">
        <f>IF(A153="","",IFERROR(INDEX('案件台帳'!$B$6:$B$105,MATCH(A153,'案件台帳'!$A$6:$A$105,0)),""))</f>
        <v/>
      </c>
      <c r="C153" s="25" t="n"/>
      <c r="D153" s="25" t="n"/>
      <c r="E153" s="29" t="n"/>
      <c r="F153" s="19">
        <f>IF(E153="","",ROUND(E153*(1+'設定'!$C$11),0))</f>
        <v/>
      </c>
      <c r="G153" s="45" t="n"/>
      <c r="H153" s="25" t="n"/>
    </row>
    <row r="154">
      <c r="A154" s="25" t="n"/>
      <c r="B154" s="17">
        <f>IF(A154="","",IFERROR(INDEX('案件台帳'!$B$6:$B$105,MATCH(A154,'案件台帳'!$A$6:$A$105,0)),""))</f>
        <v/>
      </c>
      <c r="C154" s="25" t="n"/>
      <c r="D154" s="25" t="n"/>
      <c r="E154" s="29" t="n"/>
      <c r="F154" s="19">
        <f>IF(E154="","",ROUND(E154*(1+'設定'!$C$11),0))</f>
        <v/>
      </c>
      <c r="G154" s="45" t="n"/>
      <c r="H154" s="25" t="n"/>
    </row>
    <row r="155">
      <c r="A155" s="25" t="n"/>
      <c r="B155" s="17">
        <f>IF(A155="","",IFERROR(INDEX('案件台帳'!$B$6:$B$105,MATCH(A155,'案件台帳'!$A$6:$A$105,0)),""))</f>
        <v/>
      </c>
      <c r="C155" s="25" t="n"/>
      <c r="D155" s="25" t="n"/>
      <c r="E155" s="29" t="n"/>
      <c r="F155" s="19">
        <f>IF(E155="","",ROUND(E155*(1+'設定'!$C$11),0))</f>
        <v/>
      </c>
      <c r="G155" s="45" t="n"/>
      <c r="H155" s="25" t="n"/>
    </row>
    <row r="156">
      <c r="A156" s="25" t="n"/>
      <c r="B156" s="17">
        <f>IF(A156="","",IFERROR(INDEX('案件台帳'!$B$6:$B$105,MATCH(A156,'案件台帳'!$A$6:$A$105,0)),""))</f>
        <v/>
      </c>
      <c r="C156" s="25" t="n"/>
      <c r="D156" s="25" t="n"/>
      <c r="E156" s="29" t="n"/>
      <c r="F156" s="19">
        <f>IF(E156="","",ROUND(E156*(1+'設定'!$C$11),0))</f>
        <v/>
      </c>
      <c r="G156" s="45" t="n"/>
      <c r="H156" s="25" t="n"/>
    </row>
    <row r="157">
      <c r="A157" s="25" t="n"/>
      <c r="B157" s="17">
        <f>IF(A157="","",IFERROR(INDEX('案件台帳'!$B$6:$B$105,MATCH(A157,'案件台帳'!$A$6:$A$105,0)),""))</f>
        <v/>
      </c>
      <c r="C157" s="25" t="n"/>
      <c r="D157" s="25" t="n"/>
      <c r="E157" s="29" t="n"/>
      <c r="F157" s="19">
        <f>IF(E157="","",ROUND(E157*(1+'設定'!$C$11),0))</f>
        <v/>
      </c>
      <c r="G157" s="45" t="n"/>
      <c r="H157" s="25" t="n"/>
    </row>
    <row r="158">
      <c r="A158" s="25" t="n"/>
      <c r="B158" s="17">
        <f>IF(A158="","",IFERROR(INDEX('案件台帳'!$B$6:$B$105,MATCH(A158,'案件台帳'!$A$6:$A$105,0)),""))</f>
        <v/>
      </c>
      <c r="C158" s="25" t="n"/>
      <c r="D158" s="25" t="n"/>
      <c r="E158" s="29" t="n"/>
      <c r="F158" s="19">
        <f>IF(E158="","",ROUND(E158*(1+'設定'!$C$11),0))</f>
        <v/>
      </c>
      <c r="G158" s="45" t="n"/>
      <c r="H158" s="25" t="n"/>
    </row>
    <row r="159">
      <c r="A159" s="25" t="n"/>
      <c r="B159" s="17">
        <f>IF(A159="","",IFERROR(INDEX('案件台帳'!$B$6:$B$105,MATCH(A159,'案件台帳'!$A$6:$A$105,0)),""))</f>
        <v/>
      </c>
      <c r="C159" s="25" t="n"/>
      <c r="D159" s="25" t="n"/>
      <c r="E159" s="29" t="n"/>
      <c r="F159" s="19">
        <f>IF(E159="","",ROUND(E159*(1+'設定'!$C$11),0))</f>
        <v/>
      </c>
      <c r="G159" s="45" t="n"/>
      <c r="H159" s="25" t="n"/>
    </row>
    <row r="160">
      <c r="A160" s="25" t="n"/>
      <c r="B160" s="17">
        <f>IF(A160="","",IFERROR(INDEX('案件台帳'!$B$6:$B$105,MATCH(A160,'案件台帳'!$A$6:$A$105,0)),""))</f>
        <v/>
      </c>
      <c r="C160" s="25" t="n"/>
      <c r="D160" s="25" t="n"/>
      <c r="E160" s="29" t="n"/>
      <c r="F160" s="19">
        <f>IF(E160="","",ROUND(E160*(1+'設定'!$C$11),0))</f>
        <v/>
      </c>
      <c r="G160" s="45" t="n"/>
      <c r="H160" s="25" t="n"/>
    </row>
    <row r="161">
      <c r="A161" s="25" t="n"/>
      <c r="B161" s="17">
        <f>IF(A161="","",IFERROR(INDEX('案件台帳'!$B$6:$B$105,MATCH(A161,'案件台帳'!$A$6:$A$105,0)),""))</f>
        <v/>
      </c>
      <c r="C161" s="25" t="n"/>
      <c r="D161" s="25" t="n"/>
      <c r="E161" s="29" t="n"/>
      <c r="F161" s="19">
        <f>IF(E161="","",ROUND(E161*(1+'設定'!$C$11),0))</f>
        <v/>
      </c>
      <c r="G161" s="45" t="n"/>
      <c r="H161" s="25" t="n"/>
    </row>
    <row r="162">
      <c r="A162" s="25" t="n"/>
      <c r="B162" s="17">
        <f>IF(A162="","",IFERROR(INDEX('案件台帳'!$B$6:$B$105,MATCH(A162,'案件台帳'!$A$6:$A$105,0)),""))</f>
        <v/>
      </c>
      <c r="C162" s="25" t="n"/>
      <c r="D162" s="25" t="n"/>
      <c r="E162" s="29" t="n"/>
      <c r="F162" s="19">
        <f>IF(E162="","",ROUND(E162*(1+'設定'!$C$11),0))</f>
        <v/>
      </c>
      <c r="G162" s="45" t="n"/>
      <c r="H162" s="25" t="n"/>
    </row>
    <row r="163">
      <c r="A163" s="25" t="n"/>
      <c r="B163" s="17">
        <f>IF(A163="","",IFERROR(INDEX('案件台帳'!$B$6:$B$105,MATCH(A163,'案件台帳'!$A$6:$A$105,0)),""))</f>
        <v/>
      </c>
      <c r="C163" s="25" t="n"/>
      <c r="D163" s="25" t="n"/>
      <c r="E163" s="29" t="n"/>
      <c r="F163" s="19">
        <f>IF(E163="","",ROUND(E163*(1+'設定'!$C$11),0))</f>
        <v/>
      </c>
      <c r="G163" s="45" t="n"/>
      <c r="H163" s="25" t="n"/>
    </row>
    <row r="164">
      <c r="A164" s="25" t="n"/>
      <c r="B164" s="17">
        <f>IF(A164="","",IFERROR(INDEX('案件台帳'!$B$6:$B$105,MATCH(A164,'案件台帳'!$A$6:$A$105,0)),""))</f>
        <v/>
      </c>
      <c r="C164" s="25" t="n"/>
      <c r="D164" s="25" t="n"/>
      <c r="E164" s="29" t="n"/>
      <c r="F164" s="19">
        <f>IF(E164="","",ROUND(E164*(1+'設定'!$C$11),0))</f>
        <v/>
      </c>
      <c r="G164" s="45" t="n"/>
      <c r="H164" s="25" t="n"/>
    </row>
    <row r="165">
      <c r="A165" s="25" t="n"/>
      <c r="B165" s="17">
        <f>IF(A165="","",IFERROR(INDEX('案件台帳'!$B$6:$B$105,MATCH(A165,'案件台帳'!$A$6:$A$105,0)),""))</f>
        <v/>
      </c>
      <c r="C165" s="25" t="n"/>
      <c r="D165" s="25" t="n"/>
      <c r="E165" s="29" t="n"/>
      <c r="F165" s="19">
        <f>IF(E165="","",ROUND(E165*(1+'設定'!$C$11),0))</f>
        <v/>
      </c>
      <c r="G165" s="45" t="n"/>
      <c r="H165" s="25" t="n"/>
    </row>
    <row r="166">
      <c r="A166" s="25" t="n"/>
      <c r="B166" s="17">
        <f>IF(A166="","",IFERROR(INDEX('案件台帳'!$B$6:$B$105,MATCH(A166,'案件台帳'!$A$6:$A$105,0)),""))</f>
        <v/>
      </c>
      <c r="C166" s="25" t="n"/>
      <c r="D166" s="25" t="n"/>
      <c r="E166" s="29" t="n"/>
      <c r="F166" s="19">
        <f>IF(E166="","",ROUND(E166*(1+'設定'!$C$11),0))</f>
        <v/>
      </c>
      <c r="G166" s="45" t="n"/>
      <c r="H166" s="25" t="n"/>
    </row>
    <row r="167">
      <c r="A167" s="25" t="n"/>
      <c r="B167" s="17">
        <f>IF(A167="","",IFERROR(INDEX('案件台帳'!$B$6:$B$105,MATCH(A167,'案件台帳'!$A$6:$A$105,0)),""))</f>
        <v/>
      </c>
      <c r="C167" s="25" t="n"/>
      <c r="D167" s="25" t="n"/>
      <c r="E167" s="29" t="n"/>
      <c r="F167" s="19">
        <f>IF(E167="","",ROUND(E167*(1+'設定'!$C$11),0))</f>
        <v/>
      </c>
      <c r="G167" s="45" t="n"/>
      <c r="H167" s="25" t="n"/>
    </row>
    <row r="168">
      <c r="A168" s="25" t="n"/>
      <c r="B168" s="17">
        <f>IF(A168="","",IFERROR(INDEX('案件台帳'!$B$6:$B$105,MATCH(A168,'案件台帳'!$A$6:$A$105,0)),""))</f>
        <v/>
      </c>
      <c r="C168" s="25" t="n"/>
      <c r="D168" s="25" t="n"/>
      <c r="E168" s="29" t="n"/>
      <c r="F168" s="19">
        <f>IF(E168="","",ROUND(E168*(1+'設定'!$C$11),0))</f>
        <v/>
      </c>
      <c r="G168" s="45" t="n"/>
      <c r="H168" s="25" t="n"/>
    </row>
    <row r="169">
      <c r="A169" s="25" t="n"/>
      <c r="B169" s="17">
        <f>IF(A169="","",IFERROR(INDEX('案件台帳'!$B$6:$B$105,MATCH(A169,'案件台帳'!$A$6:$A$105,0)),""))</f>
        <v/>
      </c>
      <c r="C169" s="25" t="n"/>
      <c r="D169" s="25" t="n"/>
      <c r="E169" s="29" t="n"/>
      <c r="F169" s="19">
        <f>IF(E169="","",ROUND(E169*(1+'設定'!$C$11),0))</f>
        <v/>
      </c>
      <c r="G169" s="45" t="n"/>
      <c r="H169" s="25" t="n"/>
    </row>
    <row r="170">
      <c r="A170" s="25" t="n"/>
      <c r="B170" s="17">
        <f>IF(A170="","",IFERROR(INDEX('案件台帳'!$B$6:$B$105,MATCH(A170,'案件台帳'!$A$6:$A$105,0)),""))</f>
        <v/>
      </c>
      <c r="C170" s="25" t="n"/>
      <c r="D170" s="25" t="n"/>
      <c r="E170" s="29" t="n"/>
      <c r="F170" s="19">
        <f>IF(E170="","",ROUND(E170*(1+'設定'!$C$11),0))</f>
        <v/>
      </c>
      <c r="G170" s="45" t="n"/>
      <c r="H170" s="25" t="n"/>
    </row>
    <row r="171">
      <c r="A171" s="25" t="n"/>
      <c r="B171" s="17">
        <f>IF(A171="","",IFERROR(INDEX('案件台帳'!$B$6:$B$105,MATCH(A171,'案件台帳'!$A$6:$A$105,0)),""))</f>
        <v/>
      </c>
      <c r="C171" s="25" t="n"/>
      <c r="D171" s="25" t="n"/>
      <c r="E171" s="29" t="n"/>
      <c r="F171" s="19">
        <f>IF(E171="","",ROUND(E171*(1+'設定'!$C$11),0))</f>
        <v/>
      </c>
      <c r="G171" s="45" t="n"/>
      <c r="H171" s="25" t="n"/>
    </row>
    <row r="172">
      <c r="A172" s="25" t="n"/>
      <c r="B172" s="17">
        <f>IF(A172="","",IFERROR(INDEX('案件台帳'!$B$6:$B$105,MATCH(A172,'案件台帳'!$A$6:$A$105,0)),""))</f>
        <v/>
      </c>
      <c r="C172" s="25" t="n"/>
      <c r="D172" s="25" t="n"/>
      <c r="E172" s="29" t="n"/>
      <c r="F172" s="19">
        <f>IF(E172="","",ROUND(E172*(1+'設定'!$C$11),0))</f>
        <v/>
      </c>
      <c r="G172" s="45" t="n"/>
      <c r="H172" s="25" t="n"/>
    </row>
    <row r="173">
      <c r="A173" s="25" t="n"/>
      <c r="B173" s="17">
        <f>IF(A173="","",IFERROR(INDEX('案件台帳'!$B$6:$B$105,MATCH(A173,'案件台帳'!$A$6:$A$105,0)),""))</f>
        <v/>
      </c>
      <c r="C173" s="25" t="n"/>
      <c r="D173" s="25" t="n"/>
      <c r="E173" s="29" t="n"/>
      <c r="F173" s="19">
        <f>IF(E173="","",ROUND(E173*(1+'設定'!$C$11),0))</f>
        <v/>
      </c>
      <c r="G173" s="45" t="n"/>
      <c r="H173" s="25" t="n"/>
    </row>
    <row r="174">
      <c r="A174" s="25" t="n"/>
      <c r="B174" s="17">
        <f>IF(A174="","",IFERROR(INDEX('案件台帳'!$B$6:$B$105,MATCH(A174,'案件台帳'!$A$6:$A$105,0)),""))</f>
        <v/>
      </c>
      <c r="C174" s="25" t="n"/>
      <c r="D174" s="25" t="n"/>
      <c r="E174" s="29" t="n"/>
      <c r="F174" s="19">
        <f>IF(E174="","",ROUND(E174*(1+'設定'!$C$11),0))</f>
        <v/>
      </c>
      <c r="G174" s="45" t="n"/>
      <c r="H174" s="25" t="n"/>
    </row>
    <row r="175">
      <c r="A175" s="25" t="n"/>
      <c r="B175" s="17">
        <f>IF(A175="","",IFERROR(INDEX('案件台帳'!$B$6:$B$105,MATCH(A175,'案件台帳'!$A$6:$A$105,0)),""))</f>
        <v/>
      </c>
      <c r="C175" s="25" t="n"/>
      <c r="D175" s="25" t="n"/>
      <c r="E175" s="29" t="n"/>
      <c r="F175" s="19">
        <f>IF(E175="","",ROUND(E175*(1+'設定'!$C$11),0))</f>
        <v/>
      </c>
      <c r="G175" s="45" t="n"/>
      <c r="H175" s="25" t="n"/>
    </row>
    <row r="176">
      <c r="A176" s="25" t="n"/>
      <c r="B176" s="17">
        <f>IF(A176="","",IFERROR(INDEX('案件台帳'!$B$6:$B$105,MATCH(A176,'案件台帳'!$A$6:$A$105,0)),""))</f>
        <v/>
      </c>
      <c r="C176" s="25" t="n"/>
      <c r="D176" s="25" t="n"/>
      <c r="E176" s="29" t="n"/>
      <c r="F176" s="19">
        <f>IF(E176="","",ROUND(E176*(1+'設定'!$C$11),0))</f>
        <v/>
      </c>
      <c r="G176" s="45" t="n"/>
      <c r="H176" s="25" t="n"/>
    </row>
    <row r="177">
      <c r="A177" s="25" t="n"/>
      <c r="B177" s="17">
        <f>IF(A177="","",IFERROR(INDEX('案件台帳'!$B$6:$B$105,MATCH(A177,'案件台帳'!$A$6:$A$105,0)),""))</f>
        <v/>
      </c>
      <c r="C177" s="25" t="n"/>
      <c r="D177" s="25" t="n"/>
      <c r="E177" s="29" t="n"/>
      <c r="F177" s="19">
        <f>IF(E177="","",ROUND(E177*(1+'設定'!$C$11),0))</f>
        <v/>
      </c>
      <c r="G177" s="45" t="n"/>
      <c r="H177" s="25" t="n"/>
    </row>
    <row r="178">
      <c r="A178" s="25" t="n"/>
      <c r="B178" s="17">
        <f>IF(A178="","",IFERROR(INDEX('案件台帳'!$B$6:$B$105,MATCH(A178,'案件台帳'!$A$6:$A$105,0)),""))</f>
        <v/>
      </c>
      <c r="C178" s="25" t="n"/>
      <c r="D178" s="25" t="n"/>
      <c r="E178" s="29" t="n"/>
      <c r="F178" s="19">
        <f>IF(E178="","",ROUND(E178*(1+'設定'!$C$11),0))</f>
        <v/>
      </c>
      <c r="G178" s="45" t="n"/>
      <c r="H178" s="25" t="n"/>
    </row>
    <row r="179">
      <c r="A179" s="25" t="n"/>
      <c r="B179" s="17">
        <f>IF(A179="","",IFERROR(INDEX('案件台帳'!$B$6:$B$105,MATCH(A179,'案件台帳'!$A$6:$A$105,0)),""))</f>
        <v/>
      </c>
      <c r="C179" s="25" t="n"/>
      <c r="D179" s="25" t="n"/>
      <c r="E179" s="29" t="n"/>
      <c r="F179" s="19">
        <f>IF(E179="","",ROUND(E179*(1+'設定'!$C$11),0))</f>
        <v/>
      </c>
      <c r="G179" s="45" t="n"/>
      <c r="H179" s="25" t="n"/>
    </row>
    <row r="180">
      <c r="A180" s="25" t="n"/>
      <c r="B180" s="17">
        <f>IF(A180="","",IFERROR(INDEX('案件台帳'!$B$6:$B$105,MATCH(A180,'案件台帳'!$A$6:$A$105,0)),""))</f>
        <v/>
      </c>
      <c r="C180" s="25" t="n"/>
      <c r="D180" s="25" t="n"/>
      <c r="E180" s="29" t="n"/>
      <c r="F180" s="19">
        <f>IF(E180="","",ROUND(E180*(1+'設定'!$C$11),0))</f>
        <v/>
      </c>
      <c r="G180" s="45" t="n"/>
      <c r="H180" s="25" t="n"/>
    </row>
    <row r="181">
      <c r="A181" s="25" t="n"/>
      <c r="B181" s="17">
        <f>IF(A181="","",IFERROR(INDEX('案件台帳'!$B$6:$B$105,MATCH(A181,'案件台帳'!$A$6:$A$105,0)),""))</f>
        <v/>
      </c>
      <c r="C181" s="25" t="n"/>
      <c r="D181" s="25" t="n"/>
      <c r="E181" s="29" t="n"/>
      <c r="F181" s="19">
        <f>IF(E181="","",ROUND(E181*(1+'設定'!$C$11),0))</f>
        <v/>
      </c>
      <c r="G181" s="45" t="n"/>
      <c r="H181" s="25" t="n"/>
    </row>
    <row r="182">
      <c r="A182" s="25" t="n"/>
      <c r="B182" s="17">
        <f>IF(A182="","",IFERROR(INDEX('案件台帳'!$B$6:$B$105,MATCH(A182,'案件台帳'!$A$6:$A$105,0)),""))</f>
        <v/>
      </c>
      <c r="C182" s="25" t="n"/>
      <c r="D182" s="25" t="n"/>
      <c r="E182" s="29" t="n"/>
      <c r="F182" s="19">
        <f>IF(E182="","",ROUND(E182*(1+'設定'!$C$11),0))</f>
        <v/>
      </c>
      <c r="G182" s="45" t="n"/>
      <c r="H182" s="25" t="n"/>
    </row>
    <row r="183">
      <c r="A183" s="25" t="n"/>
      <c r="B183" s="17">
        <f>IF(A183="","",IFERROR(INDEX('案件台帳'!$B$6:$B$105,MATCH(A183,'案件台帳'!$A$6:$A$105,0)),""))</f>
        <v/>
      </c>
      <c r="C183" s="25" t="n"/>
      <c r="D183" s="25" t="n"/>
      <c r="E183" s="29" t="n"/>
      <c r="F183" s="19">
        <f>IF(E183="","",ROUND(E183*(1+'設定'!$C$11),0))</f>
        <v/>
      </c>
      <c r="G183" s="45" t="n"/>
      <c r="H183" s="25" t="n"/>
    </row>
    <row r="184">
      <c r="A184" s="25" t="n"/>
      <c r="B184" s="17">
        <f>IF(A184="","",IFERROR(INDEX('案件台帳'!$B$6:$B$105,MATCH(A184,'案件台帳'!$A$6:$A$105,0)),""))</f>
        <v/>
      </c>
      <c r="C184" s="25" t="n"/>
      <c r="D184" s="25" t="n"/>
      <c r="E184" s="29" t="n"/>
      <c r="F184" s="19">
        <f>IF(E184="","",ROUND(E184*(1+'設定'!$C$11),0))</f>
        <v/>
      </c>
      <c r="G184" s="45" t="n"/>
      <c r="H184" s="25" t="n"/>
    </row>
    <row r="185">
      <c r="A185" s="25" t="n"/>
      <c r="B185" s="17">
        <f>IF(A185="","",IFERROR(INDEX('案件台帳'!$B$6:$B$105,MATCH(A185,'案件台帳'!$A$6:$A$105,0)),""))</f>
        <v/>
      </c>
      <c r="C185" s="25" t="n"/>
      <c r="D185" s="25" t="n"/>
      <c r="E185" s="29" t="n"/>
      <c r="F185" s="19">
        <f>IF(E185="","",ROUND(E185*(1+'設定'!$C$11),0))</f>
        <v/>
      </c>
      <c r="G185" s="45" t="n"/>
      <c r="H185" s="25" t="n"/>
    </row>
    <row r="186">
      <c r="A186" s="25" t="n"/>
      <c r="B186" s="17">
        <f>IF(A186="","",IFERROR(INDEX('案件台帳'!$B$6:$B$105,MATCH(A186,'案件台帳'!$A$6:$A$105,0)),""))</f>
        <v/>
      </c>
      <c r="C186" s="25" t="n"/>
      <c r="D186" s="25" t="n"/>
      <c r="E186" s="29" t="n"/>
      <c r="F186" s="19">
        <f>IF(E186="","",ROUND(E186*(1+'設定'!$C$11),0))</f>
        <v/>
      </c>
      <c r="G186" s="45" t="n"/>
      <c r="H186" s="25" t="n"/>
    </row>
    <row r="187">
      <c r="A187" s="25" t="n"/>
      <c r="B187" s="17">
        <f>IF(A187="","",IFERROR(INDEX('案件台帳'!$B$6:$B$105,MATCH(A187,'案件台帳'!$A$6:$A$105,0)),""))</f>
        <v/>
      </c>
      <c r="C187" s="25" t="n"/>
      <c r="D187" s="25" t="n"/>
      <c r="E187" s="29" t="n"/>
      <c r="F187" s="19">
        <f>IF(E187="","",ROUND(E187*(1+'設定'!$C$11),0))</f>
        <v/>
      </c>
      <c r="G187" s="45" t="n"/>
      <c r="H187" s="25" t="n"/>
    </row>
    <row r="188">
      <c r="A188" s="25" t="n"/>
      <c r="B188" s="17">
        <f>IF(A188="","",IFERROR(INDEX('案件台帳'!$B$6:$B$105,MATCH(A188,'案件台帳'!$A$6:$A$105,0)),""))</f>
        <v/>
      </c>
      <c r="C188" s="25" t="n"/>
      <c r="D188" s="25" t="n"/>
      <c r="E188" s="29" t="n"/>
      <c r="F188" s="19">
        <f>IF(E188="","",ROUND(E188*(1+'設定'!$C$11),0))</f>
        <v/>
      </c>
      <c r="G188" s="45" t="n"/>
      <c r="H188" s="25" t="n"/>
    </row>
    <row r="189">
      <c r="A189" s="25" t="n"/>
      <c r="B189" s="17">
        <f>IF(A189="","",IFERROR(INDEX('案件台帳'!$B$6:$B$105,MATCH(A189,'案件台帳'!$A$6:$A$105,0)),""))</f>
        <v/>
      </c>
      <c r="C189" s="25" t="n"/>
      <c r="D189" s="25" t="n"/>
      <c r="E189" s="29" t="n"/>
      <c r="F189" s="19">
        <f>IF(E189="","",ROUND(E189*(1+'設定'!$C$11),0))</f>
        <v/>
      </c>
      <c r="G189" s="45" t="n"/>
      <c r="H189" s="25" t="n"/>
    </row>
    <row r="190">
      <c r="A190" s="25" t="n"/>
      <c r="B190" s="17">
        <f>IF(A190="","",IFERROR(INDEX('案件台帳'!$B$6:$B$105,MATCH(A190,'案件台帳'!$A$6:$A$105,0)),""))</f>
        <v/>
      </c>
      <c r="C190" s="25" t="n"/>
      <c r="D190" s="25" t="n"/>
      <c r="E190" s="29" t="n"/>
      <c r="F190" s="19">
        <f>IF(E190="","",ROUND(E190*(1+'設定'!$C$11),0))</f>
        <v/>
      </c>
      <c r="G190" s="45" t="n"/>
      <c r="H190" s="25" t="n"/>
    </row>
    <row r="191">
      <c r="A191" s="25" t="n"/>
      <c r="B191" s="17">
        <f>IF(A191="","",IFERROR(INDEX('案件台帳'!$B$6:$B$105,MATCH(A191,'案件台帳'!$A$6:$A$105,0)),""))</f>
        <v/>
      </c>
      <c r="C191" s="25" t="n"/>
      <c r="D191" s="25" t="n"/>
      <c r="E191" s="29" t="n"/>
      <c r="F191" s="19">
        <f>IF(E191="","",ROUND(E191*(1+'設定'!$C$11),0))</f>
        <v/>
      </c>
      <c r="G191" s="45" t="n"/>
      <c r="H191" s="25" t="n"/>
    </row>
    <row r="192">
      <c r="A192" s="25" t="n"/>
      <c r="B192" s="17">
        <f>IF(A192="","",IFERROR(INDEX('案件台帳'!$B$6:$B$105,MATCH(A192,'案件台帳'!$A$6:$A$105,0)),""))</f>
        <v/>
      </c>
      <c r="C192" s="25" t="n"/>
      <c r="D192" s="25" t="n"/>
      <c r="E192" s="29" t="n"/>
      <c r="F192" s="19">
        <f>IF(E192="","",ROUND(E192*(1+'設定'!$C$11),0))</f>
        <v/>
      </c>
      <c r="G192" s="45" t="n"/>
      <c r="H192" s="25" t="n"/>
    </row>
    <row r="193">
      <c r="A193" s="25" t="n"/>
      <c r="B193" s="17">
        <f>IF(A193="","",IFERROR(INDEX('案件台帳'!$B$6:$B$105,MATCH(A193,'案件台帳'!$A$6:$A$105,0)),""))</f>
        <v/>
      </c>
      <c r="C193" s="25" t="n"/>
      <c r="D193" s="25" t="n"/>
      <c r="E193" s="29" t="n"/>
      <c r="F193" s="19">
        <f>IF(E193="","",ROUND(E193*(1+'設定'!$C$11),0))</f>
        <v/>
      </c>
      <c r="G193" s="45" t="n"/>
      <c r="H193" s="25" t="n"/>
    </row>
    <row r="194">
      <c r="A194" s="25" t="n"/>
      <c r="B194" s="17">
        <f>IF(A194="","",IFERROR(INDEX('案件台帳'!$B$6:$B$105,MATCH(A194,'案件台帳'!$A$6:$A$105,0)),""))</f>
        <v/>
      </c>
      <c r="C194" s="25" t="n"/>
      <c r="D194" s="25" t="n"/>
      <c r="E194" s="29" t="n"/>
      <c r="F194" s="19">
        <f>IF(E194="","",ROUND(E194*(1+'設定'!$C$11),0))</f>
        <v/>
      </c>
      <c r="G194" s="45" t="n"/>
      <c r="H194" s="25" t="n"/>
    </row>
    <row r="195">
      <c r="A195" s="25" t="n"/>
      <c r="B195" s="17">
        <f>IF(A195="","",IFERROR(INDEX('案件台帳'!$B$6:$B$105,MATCH(A195,'案件台帳'!$A$6:$A$105,0)),""))</f>
        <v/>
      </c>
      <c r="C195" s="25" t="n"/>
      <c r="D195" s="25" t="n"/>
      <c r="E195" s="29" t="n"/>
      <c r="F195" s="19">
        <f>IF(E195="","",ROUND(E195*(1+'設定'!$C$11),0))</f>
        <v/>
      </c>
      <c r="G195" s="45" t="n"/>
      <c r="H195" s="25" t="n"/>
    </row>
    <row r="196">
      <c r="A196" s="25" t="n"/>
      <c r="B196" s="17">
        <f>IF(A196="","",IFERROR(INDEX('案件台帳'!$B$6:$B$105,MATCH(A196,'案件台帳'!$A$6:$A$105,0)),""))</f>
        <v/>
      </c>
      <c r="C196" s="25" t="n"/>
      <c r="D196" s="25" t="n"/>
      <c r="E196" s="29" t="n"/>
      <c r="F196" s="19">
        <f>IF(E196="","",ROUND(E196*(1+'設定'!$C$11),0))</f>
        <v/>
      </c>
      <c r="G196" s="45" t="n"/>
      <c r="H196" s="25" t="n"/>
    </row>
    <row r="197">
      <c r="A197" s="25" t="n"/>
      <c r="B197" s="17">
        <f>IF(A197="","",IFERROR(INDEX('案件台帳'!$B$6:$B$105,MATCH(A197,'案件台帳'!$A$6:$A$105,0)),""))</f>
        <v/>
      </c>
      <c r="C197" s="25" t="n"/>
      <c r="D197" s="25" t="n"/>
      <c r="E197" s="29" t="n"/>
      <c r="F197" s="19">
        <f>IF(E197="","",ROUND(E197*(1+'設定'!$C$11),0))</f>
        <v/>
      </c>
      <c r="G197" s="45" t="n"/>
      <c r="H197" s="25" t="n"/>
    </row>
    <row r="198">
      <c r="A198" s="25" t="n"/>
      <c r="B198" s="17">
        <f>IF(A198="","",IFERROR(INDEX('案件台帳'!$B$6:$B$105,MATCH(A198,'案件台帳'!$A$6:$A$105,0)),""))</f>
        <v/>
      </c>
      <c r="C198" s="25" t="n"/>
      <c r="D198" s="25" t="n"/>
      <c r="E198" s="29" t="n"/>
      <c r="F198" s="19">
        <f>IF(E198="","",ROUND(E198*(1+'設定'!$C$11),0))</f>
        <v/>
      </c>
      <c r="G198" s="45" t="n"/>
      <c r="H198" s="25" t="n"/>
    </row>
    <row r="199">
      <c r="A199" s="25" t="n"/>
      <c r="B199" s="17">
        <f>IF(A199="","",IFERROR(INDEX('案件台帳'!$B$6:$B$105,MATCH(A199,'案件台帳'!$A$6:$A$105,0)),""))</f>
        <v/>
      </c>
      <c r="C199" s="25" t="n"/>
      <c r="D199" s="25" t="n"/>
      <c r="E199" s="29" t="n"/>
      <c r="F199" s="19">
        <f>IF(E199="","",ROUND(E199*(1+'設定'!$C$11),0))</f>
        <v/>
      </c>
      <c r="G199" s="45" t="n"/>
      <c r="H199" s="25" t="n"/>
    </row>
    <row r="200">
      <c r="A200" s="25" t="n"/>
      <c r="B200" s="17">
        <f>IF(A200="","",IFERROR(INDEX('案件台帳'!$B$6:$B$105,MATCH(A200,'案件台帳'!$A$6:$A$105,0)),""))</f>
        <v/>
      </c>
      <c r="C200" s="25" t="n"/>
      <c r="D200" s="25" t="n"/>
      <c r="E200" s="29" t="n"/>
      <c r="F200" s="19">
        <f>IF(E200="","",ROUND(E200*(1+'設定'!$C$11),0))</f>
        <v/>
      </c>
      <c r="G200" s="45" t="n"/>
      <c r="H200" s="25" t="n"/>
    </row>
    <row r="201">
      <c r="A201" s="25" t="n"/>
      <c r="B201" s="17">
        <f>IF(A201="","",IFERROR(INDEX('案件台帳'!$B$6:$B$105,MATCH(A201,'案件台帳'!$A$6:$A$105,0)),""))</f>
        <v/>
      </c>
      <c r="C201" s="25" t="n"/>
      <c r="D201" s="25" t="n"/>
      <c r="E201" s="29" t="n"/>
      <c r="F201" s="19">
        <f>IF(E201="","",ROUND(E201*(1+'設定'!$C$11),0))</f>
        <v/>
      </c>
      <c r="G201" s="45" t="n"/>
      <c r="H201" s="25" t="n"/>
    </row>
    <row r="202">
      <c r="A202" s="25" t="n"/>
      <c r="B202" s="17">
        <f>IF(A202="","",IFERROR(INDEX('案件台帳'!$B$6:$B$105,MATCH(A202,'案件台帳'!$A$6:$A$105,0)),""))</f>
        <v/>
      </c>
      <c r="C202" s="25" t="n"/>
      <c r="D202" s="25" t="n"/>
      <c r="E202" s="29" t="n"/>
      <c r="F202" s="19">
        <f>IF(E202="","",ROUND(E202*(1+'設定'!$C$11),0))</f>
        <v/>
      </c>
      <c r="G202" s="45" t="n"/>
      <c r="H202" s="25" t="n"/>
    </row>
    <row r="203">
      <c r="A203" s="25" t="n"/>
      <c r="B203" s="17">
        <f>IF(A203="","",IFERROR(INDEX('案件台帳'!$B$6:$B$105,MATCH(A203,'案件台帳'!$A$6:$A$105,0)),""))</f>
        <v/>
      </c>
      <c r="C203" s="25" t="n"/>
      <c r="D203" s="25" t="n"/>
      <c r="E203" s="29" t="n"/>
      <c r="F203" s="19">
        <f>IF(E203="","",ROUND(E203*(1+'設定'!$C$11),0))</f>
        <v/>
      </c>
      <c r="G203" s="45" t="n"/>
      <c r="H203" s="25" t="n"/>
    </row>
    <row r="204">
      <c r="A204" s="25" t="n"/>
      <c r="B204" s="17">
        <f>IF(A204="","",IFERROR(INDEX('案件台帳'!$B$6:$B$105,MATCH(A204,'案件台帳'!$A$6:$A$105,0)),""))</f>
        <v/>
      </c>
      <c r="C204" s="25" t="n"/>
      <c r="D204" s="25" t="n"/>
      <c r="E204" s="29" t="n"/>
      <c r="F204" s="19">
        <f>IF(E204="","",ROUND(E204*(1+'設定'!$C$11),0))</f>
        <v/>
      </c>
      <c r="G204" s="45" t="n"/>
      <c r="H204" s="25" t="n"/>
    </row>
    <row r="205">
      <c r="A205" s="25" t="n"/>
      <c r="B205" s="17">
        <f>IF(A205="","",IFERROR(INDEX('案件台帳'!$B$6:$B$105,MATCH(A205,'案件台帳'!$A$6:$A$105,0)),""))</f>
        <v/>
      </c>
      <c r="C205" s="25" t="n"/>
      <c r="D205" s="25" t="n"/>
      <c r="E205" s="29" t="n"/>
      <c r="F205" s="19">
        <f>IF(E205="","",ROUND(E205*(1+'設定'!$C$11),0))</f>
        <v/>
      </c>
      <c r="G205" s="45" t="n"/>
      <c r="H205" s="25" t="n"/>
    </row>
  </sheetData>
  <autoFilter ref="A5:H205"/>
  <dataValidations count="2">
    <dataValidation sqref="A6:A205" showDropDown="0" showInputMessage="0" showErrorMessage="1" allowBlank="1" error="リストから選んでください" type="list">
      <formula1>'案件台帳'!$A$6:$A$105</formula1>
    </dataValidation>
    <dataValidation sqref="C6:C205" showDropDown="0" showInputMessage="0" showErrorMessage="1" allowBlank="1" error="リストから選んでください" type="list">
      <formula1>'設定'!$C$19:$C$38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0" customWidth="1" min="4" max="4"/>
    <col width="18" customWidth="1" min="5" max="5"/>
    <col width="22" customWidth="1" min="6" max="6"/>
  </cols>
  <sheetData>
    <row r="1" ht="40" customHeight="1">
      <c r="A1" s="32" t="inlineStr">
        <is>
          <t>請　求　書</t>
        </is>
      </c>
    </row>
    <row r="3">
      <c r="A3" s="21" t="inlineStr">
        <is>
          <t>案件No</t>
        </is>
      </c>
      <c r="B3" s="33" t="inlineStr">
        <is>
          <t>2609-03</t>
        </is>
      </c>
      <c r="E3" s="21" t="inlineStr">
        <is>
          <t>請求書番号</t>
        </is>
      </c>
      <c r="F3" s="23">
        <f>IF(OR(B3="",F4=""),"",B3&amp;"-"&amp;TEXT(F4,"yymmdd"))</f>
        <v/>
      </c>
    </row>
    <row r="4">
      <c r="A4" s="21" t="inlineStr">
        <is>
          <t>宛名</t>
        </is>
      </c>
      <c r="B4" s="34">
        <f>IF(B3="","",IF(B3="","",IFERROR(INDEX('案件台帳'!$C$6:$C$105,MATCH(B3,'案件台帳'!$A$6:$A$105,0)),""))&amp;" 御中")</f>
        <v/>
      </c>
      <c r="E4" s="21" t="inlineStr">
        <is>
          <t>請求日</t>
        </is>
      </c>
      <c r="F4" s="35" t="n">
        <v>46295</v>
      </c>
    </row>
    <row r="5">
      <c r="A5" s="21" t="inlineStr">
        <is>
          <t>件名</t>
        </is>
      </c>
      <c r="B5" s="17">
        <f>IF(B3="","",IFERROR(INDEX('案件台帳'!$B$6:$B$105,MATCH(B3,'案件台帳'!$A$6:$A$105,0)),""))</f>
        <v/>
      </c>
      <c r="E5" s="21" t="inlineStr">
        <is>
          <t>お支払期限</t>
        </is>
      </c>
      <c r="F5" s="36">
        <f>IF(F4="","",F4+'設定'!$C$12)</f>
        <v/>
      </c>
    </row>
    <row r="6">
      <c r="A6" s="21" t="inlineStr">
        <is>
          <t>現場</t>
        </is>
      </c>
      <c r="B6" s="17">
        <f>IF(B3="","",IFERROR(INDEX('案件台帳'!$D$6:$D$105,MATCH(B3,'案件台帳'!$A$6:$A$105,0)),""))</f>
        <v/>
      </c>
      <c r="E6" s="21" t="inlineStr">
        <is>
          <t>請求割合</t>
        </is>
      </c>
      <c r="F6" s="46" t="n">
        <v>1</v>
      </c>
    </row>
    <row r="8">
      <c r="A8" s="21" t="inlineStr">
        <is>
          <t>ご請求金額（税込）</t>
        </is>
      </c>
      <c r="B8" s="37" t="n"/>
      <c r="C8" s="38">
        <f>IF(F19="","",F19)</f>
        <v/>
      </c>
      <c r="D8" s="17" t="n"/>
      <c r="E8" s="47">
        <f>'設定'!C4</f>
        <v/>
      </c>
    </row>
    <row r="9">
      <c r="E9" s="40">
        <f>IF('設定'!C6="","","〒"&amp;'設定'!C6&amp;" ")&amp;'設定'!C7</f>
        <v/>
      </c>
    </row>
    <row r="10">
      <c r="E10" s="40">
        <f>IF('設定'!C8="","","TEL "&amp;'設定'!C8)</f>
        <v/>
      </c>
    </row>
    <row r="11">
      <c r="E11" s="40">
        <f>IF('設定'!C9="","","登録番号 "&amp;'設定'!C9)</f>
        <v/>
      </c>
    </row>
    <row r="12">
      <c r="E12" s="40">
        <f>'設定'!C5</f>
        <v/>
      </c>
    </row>
    <row r="14" ht="30" customHeight="1">
      <c r="A14" s="13" t="inlineStr">
        <is>
          <t>品名</t>
        </is>
      </c>
      <c r="B14" s="48" t="n"/>
      <c r="C14" s="13" t="inlineStr">
        <is>
          <t>数量</t>
        </is>
      </c>
      <c r="D14" s="13" t="inlineStr">
        <is>
          <t>単位</t>
        </is>
      </c>
      <c r="E14" s="13" t="inlineStr">
        <is>
          <t>単価</t>
        </is>
      </c>
      <c r="F14" s="13" t="inlineStr">
        <is>
          <t>金額</t>
        </is>
      </c>
    </row>
    <row r="15">
      <c r="A15" s="25">
        <f>IF(B5="","",B5&amp;" 一式")</f>
        <v/>
      </c>
      <c r="B15" s="25" t="n"/>
      <c r="C15" s="23">
        <f>IF(B3="","",1)</f>
        <v/>
      </c>
      <c r="D15" s="23">
        <f>IF(B3="","","式")</f>
        <v/>
      </c>
      <c r="E15" s="42">
        <f>IF(B3="","",ROUND(IFERROR(INDEX('案件台帳'!$F$6:$F$105,MATCH(B3,'案件台帳'!$A$6:$A$105,0)),0)*F6,0))</f>
        <v/>
      </c>
      <c r="F15" s="42">
        <f>IF(E15="","",E15)</f>
        <v/>
      </c>
    </row>
    <row r="17">
      <c r="A17" s="30" t="inlineStr">
        <is>
          <t>小計（税抜）</t>
        </is>
      </c>
      <c r="F17" s="22">
        <f>N(F15)</f>
        <v/>
      </c>
    </row>
    <row r="18">
      <c r="A18" s="30" t="inlineStr">
        <is>
          <t>消費税</t>
        </is>
      </c>
      <c r="F18" s="22">
        <f>ROUND(F17*'設定'!$C$11,0)</f>
        <v/>
      </c>
    </row>
    <row r="19">
      <c r="A19" s="30" t="inlineStr">
        <is>
          <t>合計（税込）</t>
        </is>
      </c>
      <c r="F19" s="43">
        <f>IF(B3="","",F17+F18)</f>
        <v/>
      </c>
    </row>
    <row r="21">
      <c r="A21" s="21" t="inlineStr">
        <is>
          <t>お振込先</t>
        </is>
      </c>
      <c r="B21" s="17">
        <f>'設定'!C10</f>
        <v/>
      </c>
    </row>
    <row r="23">
      <c r="A23" s="21" t="inlineStr">
        <is>
          <t>備考</t>
        </is>
      </c>
      <c r="B23" s="44" t="inlineStr">
        <is>
          <t>お振込手数料はご負担をお願いいたします。</t>
        </is>
      </c>
    </row>
    <row r="24"/>
    <row r="25"/>
    <row r="26"/>
  </sheetData>
  <mergeCells count="15">
    <mergeCell ref="E9:F9"/>
    <mergeCell ref="E12:F12"/>
    <mergeCell ref="B21:F21"/>
    <mergeCell ref="A15:B15"/>
    <mergeCell ref="A18:E18"/>
    <mergeCell ref="E10:F10"/>
    <mergeCell ref="A1:F1"/>
    <mergeCell ref="E11:F11"/>
    <mergeCell ref="A19:E19"/>
    <mergeCell ref="B23:F26"/>
    <mergeCell ref="A14:B14"/>
    <mergeCell ref="A8:B8"/>
    <mergeCell ref="A17:E17"/>
    <mergeCell ref="E8:F8"/>
    <mergeCell ref="C8:D8"/>
  </mergeCells>
  <dataValidations count="1">
    <dataValidation sqref="B3" showDropDown="0" showInputMessage="0" showErrorMessage="1" allowBlank="1" error="リストから選んでください" type="list">
      <formula1>'案件台帳'!$A$6:$A$105</formula1>
    </dataValidation>
  </dataValidations>
  <printOptions horizontalCentered="1"/>
  <pageMargins left="0.75" right="0.75" top="1" bottom="1" header="0.5" footer="0.5"/>
  <pageSetup orientation="portrait" paperSize="8" fitToHeight="1" fitToWidth="1"/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L210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1" customWidth="1" min="3" max="3"/>
    <col width="30" customWidth="1" min="4" max="4"/>
    <col width="14" customWidth="1" min="5" max="5"/>
    <col width="13" customWidth="1" min="6" max="6"/>
    <col width="15" customWidth="1" min="7" max="7"/>
    <col width="13" customWidth="1" min="8" max="8"/>
    <col width="12" customWidth="1" min="9" max="9"/>
    <col width="13" customWidth="1" min="10" max="10"/>
    <col width="24" customWidth="1" min="11" max="11"/>
    <col width="11" customWidth="1" min="12" max="12"/>
  </cols>
  <sheetData>
    <row r="1">
      <c r="A1" s="11" t="inlineStr">
        <is>
          <t>支払管理（業者への支払い）</t>
        </is>
      </c>
    </row>
    <row r="2">
      <c r="A2" s="12" t="inlineStr">
        <is>
          <t>業者から届いた請求書を1枚1行で入力。支払状況を選ぶと行の色が変わります。期限を過ぎた未払いは赤字になります。</t>
        </is>
      </c>
    </row>
    <row r="4" ht="30" customHeight="1">
      <c r="B4" s="13" t="inlineStr">
        <is>
          <t>支払状況</t>
        </is>
      </c>
      <c r="C4" s="13" t="inlineStr">
        <is>
          <t>件数</t>
        </is>
      </c>
      <c r="D4" s="13" t="inlineStr">
        <is>
          <t>金額</t>
        </is>
      </c>
    </row>
    <row r="5">
      <c r="B5" s="8" t="inlineStr">
        <is>
          <t>未払い</t>
        </is>
      </c>
      <c r="C5" s="49">
        <f>COUNTIF($I$11:$I$210,B5)</f>
        <v/>
      </c>
      <c r="D5" s="19">
        <f>SUMIF($I$11:$I$210,B5,$G$11:$G$210)</f>
        <v/>
      </c>
    </row>
    <row r="6">
      <c r="B6" s="8" t="inlineStr">
        <is>
          <t>問題あり</t>
        </is>
      </c>
      <c r="C6" s="49">
        <f>COUNTIF($I$11:$I$210,B6)</f>
        <v/>
      </c>
      <c r="D6" s="19">
        <f>SUMIF($I$11:$I$210,B6,$G$11:$G$210)</f>
        <v/>
      </c>
    </row>
    <row r="7">
      <c r="B7" s="8" t="inlineStr">
        <is>
          <t>支払い済み</t>
        </is>
      </c>
      <c r="C7" s="49">
        <f>COUNTIF($I$11:$I$210,B7)</f>
        <v/>
      </c>
      <c r="D7" s="19">
        <f>SUMIF($I$11:$I$210,B7,$G$11:$G$210)</f>
        <v/>
      </c>
    </row>
    <row r="8">
      <c r="B8" s="8" t="inlineStr">
        <is>
          <t>合計</t>
        </is>
      </c>
      <c r="C8" s="50">
        <f>SUM(C5:C7)</f>
        <v/>
      </c>
      <c r="D8" s="22">
        <f>SUM(D5:D7)</f>
        <v/>
      </c>
    </row>
    <row r="10" ht="30" customHeight="1">
      <c r="A10" s="13" t="inlineStr">
        <is>
          <t>No</t>
        </is>
      </c>
      <c r="B10" s="13" t="inlineStr">
        <is>
          <t>支払先（業者名）</t>
        </is>
      </c>
      <c r="C10" s="13" t="inlineStr">
        <is>
          <t>案件No</t>
        </is>
      </c>
      <c r="D10" s="13" t="inlineStr">
        <is>
          <t>案件名</t>
        </is>
      </c>
      <c r="E10" s="13" t="inlineStr">
        <is>
          <t>請求書番号</t>
        </is>
      </c>
      <c r="F10" s="13" t="inlineStr">
        <is>
          <t>請求日</t>
        </is>
      </c>
      <c r="G10" s="13" t="inlineStr">
        <is>
          <t>請求金額
（税込）</t>
        </is>
      </c>
      <c r="H10" s="13" t="inlineStr">
        <is>
          <t>支払期限</t>
        </is>
      </c>
      <c r="I10" s="13" t="inlineStr">
        <is>
          <t>支払状況</t>
        </is>
      </c>
      <c r="J10" s="13" t="inlineStr">
        <is>
          <t>支払日</t>
        </is>
      </c>
      <c r="K10" s="13" t="inlineStr">
        <is>
          <t>備考</t>
        </is>
      </c>
      <c r="L10" s="13" t="inlineStr">
        <is>
          <t>期限まで
（日）</t>
        </is>
      </c>
    </row>
    <row r="11">
      <c r="A11" s="23">
        <f>IF(B11="","",ROW()-10)</f>
        <v/>
      </c>
      <c r="B11" s="25" t="inlineStr">
        <is>
          <t>サンプル足場工業</t>
        </is>
      </c>
      <c r="C11" s="25" t="inlineStr">
        <is>
          <t>2610-01</t>
        </is>
      </c>
      <c r="D11" s="17">
        <f>IF(C11="","",IFERROR(INDEX('案件台帳'!$B$6:$B$105,MATCH(C11,'案件台帳'!$A$6:$A$105,0)),""))</f>
        <v/>
      </c>
      <c r="E11" s="25" t="inlineStr">
        <is>
          <t>A-101</t>
        </is>
      </c>
      <c r="F11" s="45" t="n">
        <v>46295</v>
      </c>
      <c r="G11" s="29" t="n">
        <v>1320000</v>
      </c>
      <c r="H11" s="45" t="n">
        <v>46326</v>
      </c>
      <c r="I11" s="33" t="inlineStr">
        <is>
          <t>未払い</t>
        </is>
      </c>
      <c r="J11" s="45" t="n"/>
      <c r="K11" s="25" t="n"/>
      <c r="L11" s="51">
        <f>IF(OR(H11="",I11="支払い済み",B11=""),"",H11-TODAY())</f>
        <v/>
      </c>
    </row>
    <row r="12">
      <c r="A12" s="23">
        <f>IF(B12="","",ROW()-10)</f>
        <v/>
      </c>
      <c r="B12" s="25" t="inlineStr">
        <is>
          <t>サンプル塗装店</t>
        </is>
      </c>
      <c r="C12" s="25" t="inlineStr">
        <is>
          <t>2610-01</t>
        </is>
      </c>
      <c r="D12" s="17">
        <f>IF(C12="","",IFERROR(INDEX('案件台帳'!$B$6:$B$105,MATCH(C12,'案件台帳'!$A$6:$A$105,0)),""))</f>
        <v/>
      </c>
      <c r="E12" s="25" t="inlineStr">
        <is>
          <t>S-55</t>
        </is>
      </c>
      <c r="F12" s="45" t="n">
        <v>46295</v>
      </c>
      <c r="G12" s="29" t="n">
        <v>3080000</v>
      </c>
      <c r="H12" s="45" t="n">
        <v>46326</v>
      </c>
      <c r="I12" s="33" t="inlineStr">
        <is>
          <t>未払い</t>
        </is>
      </c>
      <c r="J12" s="45" t="n"/>
      <c r="K12" s="25" t="n"/>
      <c r="L12" s="51">
        <f>IF(OR(H12="",I12="支払い済み",B12=""),"",H12-TODAY())</f>
        <v/>
      </c>
    </row>
    <row r="13">
      <c r="A13" s="23">
        <f>IF(B13="","",ROW()-10)</f>
        <v/>
      </c>
      <c r="B13" s="25" t="inlineStr">
        <is>
          <t>サンプル防水工業</t>
        </is>
      </c>
      <c r="C13" s="25" t="inlineStr">
        <is>
          <t>2609-03</t>
        </is>
      </c>
      <c r="D13" s="17">
        <f>IF(C13="","",IFERROR(INDEX('案件台帳'!$B$6:$B$105,MATCH(C13,'案件台帳'!$A$6:$A$105,0)),""))</f>
        <v/>
      </c>
      <c r="E13" s="25" t="inlineStr">
        <is>
          <t>B-20</t>
        </is>
      </c>
      <c r="F13" s="45" t="n">
        <v>46295</v>
      </c>
      <c r="G13" s="29" t="n">
        <v>550000</v>
      </c>
      <c r="H13" s="45" t="n">
        <v>46305</v>
      </c>
      <c r="I13" s="33" t="inlineStr">
        <is>
          <t>未払い</t>
        </is>
      </c>
      <c r="J13" s="45" t="n"/>
      <c r="K13" s="25" t="n"/>
      <c r="L13" s="51">
        <f>IF(OR(H13="",I13="支払い済み",B13=""),"",H13-TODAY())</f>
        <v/>
      </c>
    </row>
    <row r="14">
      <c r="A14" s="23">
        <f>IF(B14="","",ROW()-10)</f>
        <v/>
      </c>
      <c r="B14" s="25" t="inlineStr">
        <is>
          <t>サンプル板金</t>
        </is>
      </c>
      <c r="C14" s="25" t="inlineStr">
        <is>
          <t>2609-03</t>
        </is>
      </c>
      <c r="D14" s="17">
        <f>IF(C14="","",IFERROR(INDEX('案件台帳'!$B$6:$B$105,MATCH(C14,'案件台帳'!$A$6:$A$105,0)),""))</f>
        <v/>
      </c>
      <c r="E14" s="25" t="inlineStr">
        <is>
          <t>K-8</t>
        </is>
      </c>
      <c r="F14" s="45" t="n">
        <v>46295</v>
      </c>
      <c r="G14" s="29" t="n">
        <v>330000</v>
      </c>
      <c r="H14" s="45" t="n">
        <v>46305</v>
      </c>
      <c r="I14" s="33" t="inlineStr">
        <is>
          <t>支払い済み</t>
        </is>
      </c>
      <c r="J14" s="45" t="n">
        <v>46304</v>
      </c>
      <c r="K14" s="25" t="n"/>
      <c r="L14" s="51">
        <f>IF(OR(H14="",I14="支払い済み",B14=""),"",H14-TODAY())</f>
        <v/>
      </c>
    </row>
    <row r="15">
      <c r="A15" s="23">
        <f>IF(B15="","",ROW()-10)</f>
        <v/>
      </c>
      <c r="B15" s="25" t="inlineStr">
        <is>
          <t>サンプル内装</t>
        </is>
      </c>
      <c r="C15" s="25" t="inlineStr">
        <is>
          <t>2610-02</t>
        </is>
      </c>
      <c r="D15" s="17">
        <f>IF(C15="","",IFERROR(INDEX('案件台帳'!$B$6:$B$105,MATCH(C15,'案件台帳'!$A$6:$A$105,0)),""))</f>
        <v/>
      </c>
      <c r="E15" s="25" t="inlineStr">
        <is>
          <t>N-3</t>
        </is>
      </c>
      <c r="F15" s="45" t="n">
        <v>46305</v>
      </c>
      <c r="G15" s="29" t="n">
        <v>1430000</v>
      </c>
      <c r="H15" s="45" t="n">
        <v>46356</v>
      </c>
      <c r="I15" s="33" t="inlineStr">
        <is>
          <t>問題あり</t>
        </is>
      </c>
      <c r="J15" s="45" t="n"/>
      <c r="K15" s="25" t="n"/>
      <c r="L15" s="51">
        <f>IF(OR(H15="",I15="支払い済み",B15=""),"",H15-TODAY())</f>
        <v/>
      </c>
    </row>
    <row r="16">
      <c r="A16" s="23">
        <f>IF(B16="","",ROW()-10)</f>
        <v/>
      </c>
      <c r="B16" s="25" t="n"/>
      <c r="C16" s="25" t="n"/>
      <c r="D16" s="17">
        <f>IF(C16="","",IFERROR(INDEX('案件台帳'!$B$6:$B$105,MATCH(C16,'案件台帳'!$A$6:$A$105,0)),""))</f>
        <v/>
      </c>
      <c r="E16" s="25" t="n"/>
      <c r="F16" s="45" t="n"/>
      <c r="G16" s="29" t="n"/>
      <c r="H16" s="45" t="n"/>
      <c r="I16" s="33" t="n"/>
      <c r="J16" s="45" t="n"/>
      <c r="K16" s="25" t="n"/>
      <c r="L16" s="51">
        <f>IF(OR(H16="",I16="支払い済み",B16=""),"",H16-TODAY())</f>
        <v/>
      </c>
    </row>
    <row r="17">
      <c r="A17" s="23">
        <f>IF(B17="","",ROW()-10)</f>
        <v/>
      </c>
      <c r="B17" s="25" t="n"/>
      <c r="C17" s="25" t="n"/>
      <c r="D17" s="17">
        <f>IF(C17="","",IFERROR(INDEX('案件台帳'!$B$6:$B$105,MATCH(C17,'案件台帳'!$A$6:$A$105,0)),""))</f>
        <v/>
      </c>
      <c r="E17" s="25" t="n"/>
      <c r="F17" s="45" t="n"/>
      <c r="G17" s="29" t="n"/>
      <c r="H17" s="45" t="n"/>
      <c r="I17" s="33" t="n"/>
      <c r="J17" s="45" t="n"/>
      <c r="K17" s="25" t="n"/>
      <c r="L17" s="51">
        <f>IF(OR(H17="",I17="支払い済み",B17=""),"",H17-TODAY())</f>
        <v/>
      </c>
    </row>
    <row r="18">
      <c r="A18" s="23">
        <f>IF(B18="","",ROW()-10)</f>
        <v/>
      </c>
      <c r="B18" s="25" t="n"/>
      <c r="C18" s="25" t="n"/>
      <c r="D18" s="17">
        <f>IF(C18="","",IFERROR(INDEX('案件台帳'!$B$6:$B$105,MATCH(C18,'案件台帳'!$A$6:$A$105,0)),""))</f>
        <v/>
      </c>
      <c r="E18" s="25" t="n"/>
      <c r="F18" s="45" t="n"/>
      <c r="G18" s="29" t="n"/>
      <c r="H18" s="45" t="n"/>
      <c r="I18" s="33" t="n"/>
      <c r="J18" s="45" t="n"/>
      <c r="K18" s="25" t="n"/>
      <c r="L18" s="51">
        <f>IF(OR(H18="",I18="支払い済み",B18=""),"",H18-TODAY())</f>
        <v/>
      </c>
    </row>
    <row r="19">
      <c r="A19" s="23">
        <f>IF(B19="","",ROW()-10)</f>
        <v/>
      </c>
      <c r="B19" s="25" t="n"/>
      <c r="C19" s="25" t="n"/>
      <c r="D19" s="17">
        <f>IF(C19="","",IFERROR(INDEX('案件台帳'!$B$6:$B$105,MATCH(C19,'案件台帳'!$A$6:$A$105,0)),""))</f>
        <v/>
      </c>
      <c r="E19" s="25" t="n"/>
      <c r="F19" s="45" t="n"/>
      <c r="G19" s="29" t="n"/>
      <c r="H19" s="45" t="n"/>
      <c r="I19" s="33" t="n"/>
      <c r="J19" s="45" t="n"/>
      <c r="K19" s="25" t="n"/>
      <c r="L19" s="51">
        <f>IF(OR(H19="",I19="支払い済み",B19=""),"",H19-TODAY())</f>
        <v/>
      </c>
    </row>
    <row r="20">
      <c r="A20" s="23">
        <f>IF(B20="","",ROW()-10)</f>
        <v/>
      </c>
      <c r="B20" s="25" t="n"/>
      <c r="C20" s="25" t="n"/>
      <c r="D20" s="17">
        <f>IF(C20="","",IFERROR(INDEX('案件台帳'!$B$6:$B$105,MATCH(C20,'案件台帳'!$A$6:$A$105,0)),""))</f>
        <v/>
      </c>
      <c r="E20" s="25" t="n"/>
      <c r="F20" s="45" t="n"/>
      <c r="G20" s="29" t="n"/>
      <c r="H20" s="45" t="n"/>
      <c r="I20" s="33" t="n"/>
      <c r="J20" s="45" t="n"/>
      <c r="K20" s="25" t="n"/>
      <c r="L20" s="51">
        <f>IF(OR(H20="",I20="支払い済み",B20=""),"",H20-TODAY())</f>
        <v/>
      </c>
    </row>
    <row r="21">
      <c r="A21" s="23">
        <f>IF(B21="","",ROW()-10)</f>
        <v/>
      </c>
      <c r="B21" s="25" t="n"/>
      <c r="C21" s="25" t="n"/>
      <c r="D21" s="17">
        <f>IF(C21="","",IFERROR(INDEX('案件台帳'!$B$6:$B$105,MATCH(C21,'案件台帳'!$A$6:$A$105,0)),""))</f>
        <v/>
      </c>
      <c r="E21" s="25" t="n"/>
      <c r="F21" s="45" t="n"/>
      <c r="G21" s="29" t="n"/>
      <c r="H21" s="45" t="n"/>
      <c r="I21" s="33" t="n"/>
      <c r="J21" s="45" t="n"/>
      <c r="K21" s="25" t="n"/>
      <c r="L21" s="51">
        <f>IF(OR(H21="",I21="支払い済み",B21=""),"",H21-TODAY())</f>
        <v/>
      </c>
    </row>
    <row r="22">
      <c r="A22" s="23">
        <f>IF(B22="","",ROW()-10)</f>
        <v/>
      </c>
      <c r="B22" s="25" t="n"/>
      <c r="C22" s="25" t="n"/>
      <c r="D22" s="17">
        <f>IF(C22="","",IFERROR(INDEX('案件台帳'!$B$6:$B$105,MATCH(C22,'案件台帳'!$A$6:$A$105,0)),""))</f>
        <v/>
      </c>
      <c r="E22" s="25" t="n"/>
      <c r="F22" s="45" t="n"/>
      <c r="G22" s="29" t="n"/>
      <c r="H22" s="45" t="n"/>
      <c r="I22" s="33" t="n"/>
      <c r="J22" s="45" t="n"/>
      <c r="K22" s="25" t="n"/>
      <c r="L22" s="51">
        <f>IF(OR(H22="",I22="支払い済み",B22=""),"",H22-TODAY())</f>
        <v/>
      </c>
    </row>
    <row r="23">
      <c r="A23" s="23">
        <f>IF(B23="","",ROW()-10)</f>
        <v/>
      </c>
      <c r="B23" s="25" t="n"/>
      <c r="C23" s="25" t="n"/>
      <c r="D23" s="17">
        <f>IF(C23="","",IFERROR(INDEX('案件台帳'!$B$6:$B$105,MATCH(C23,'案件台帳'!$A$6:$A$105,0)),""))</f>
        <v/>
      </c>
      <c r="E23" s="25" t="n"/>
      <c r="F23" s="45" t="n"/>
      <c r="G23" s="29" t="n"/>
      <c r="H23" s="45" t="n"/>
      <c r="I23" s="33" t="n"/>
      <c r="J23" s="45" t="n"/>
      <c r="K23" s="25" t="n"/>
      <c r="L23" s="51">
        <f>IF(OR(H23="",I23="支払い済み",B23=""),"",H23-TODAY())</f>
        <v/>
      </c>
    </row>
    <row r="24">
      <c r="A24" s="23">
        <f>IF(B24="","",ROW()-10)</f>
        <v/>
      </c>
      <c r="B24" s="25" t="n"/>
      <c r="C24" s="25" t="n"/>
      <c r="D24" s="17">
        <f>IF(C24="","",IFERROR(INDEX('案件台帳'!$B$6:$B$105,MATCH(C24,'案件台帳'!$A$6:$A$105,0)),""))</f>
        <v/>
      </c>
      <c r="E24" s="25" t="n"/>
      <c r="F24" s="45" t="n"/>
      <c r="G24" s="29" t="n"/>
      <c r="H24" s="45" t="n"/>
      <c r="I24" s="33" t="n"/>
      <c r="J24" s="45" t="n"/>
      <c r="K24" s="25" t="n"/>
      <c r="L24" s="51">
        <f>IF(OR(H24="",I24="支払い済み",B24=""),"",H24-TODAY())</f>
        <v/>
      </c>
    </row>
    <row r="25">
      <c r="A25" s="23">
        <f>IF(B25="","",ROW()-10)</f>
        <v/>
      </c>
      <c r="B25" s="25" t="n"/>
      <c r="C25" s="25" t="n"/>
      <c r="D25" s="17">
        <f>IF(C25="","",IFERROR(INDEX('案件台帳'!$B$6:$B$105,MATCH(C25,'案件台帳'!$A$6:$A$105,0)),""))</f>
        <v/>
      </c>
      <c r="E25" s="25" t="n"/>
      <c r="F25" s="45" t="n"/>
      <c r="G25" s="29" t="n"/>
      <c r="H25" s="45" t="n"/>
      <c r="I25" s="33" t="n"/>
      <c r="J25" s="45" t="n"/>
      <c r="K25" s="25" t="n"/>
      <c r="L25" s="51">
        <f>IF(OR(H25="",I25="支払い済み",B25=""),"",H25-TODAY())</f>
        <v/>
      </c>
    </row>
    <row r="26">
      <c r="A26" s="23">
        <f>IF(B26="","",ROW()-10)</f>
        <v/>
      </c>
      <c r="B26" s="25" t="n"/>
      <c r="C26" s="25" t="n"/>
      <c r="D26" s="17">
        <f>IF(C26="","",IFERROR(INDEX('案件台帳'!$B$6:$B$105,MATCH(C26,'案件台帳'!$A$6:$A$105,0)),""))</f>
        <v/>
      </c>
      <c r="E26" s="25" t="n"/>
      <c r="F26" s="45" t="n"/>
      <c r="G26" s="29" t="n"/>
      <c r="H26" s="45" t="n"/>
      <c r="I26" s="33" t="n"/>
      <c r="J26" s="45" t="n"/>
      <c r="K26" s="25" t="n"/>
      <c r="L26" s="51">
        <f>IF(OR(H26="",I26="支払い済み",B26=""),"",H26-TODAY())</f>
        <v/>
      </c>
    </row>
    <row r="27">
      <c r="A27" s="23">
        <f>IF(B27="","",ROW()-10)</f>
        <v/>
      </c>
      <c r="B27" s="25" t="n"/>
      <c r="C27" s="25" t="n"/>
      <c r="D27" s="17">
        <f>IF(C27="","",IFERROR(INDEX('案件台帳'!$B$6:$B$105,MATCH(C27,'案件台帳'!$A$6:$A$105,0)),""))</f>
        <v/>
      </c>
      <c r="E27" s="25" t="n"/>
      <c r="F27" s="45" t="n"/>
      <c r="G27" s="29" t="n"/>
      <c r="H27" s="45" t="n"/>
      <c r="I27" s="33" t="n"/>
      <c r="J27" s="45" t="n"/>
      <c r="K27" s="25" t="n"/>
      <c r="L27" s="51">
        <f>IF(OR(H27="",I27="支払い済み",B27=""),"",H27-TODAY())</f>
        <v/>
      </c>
    </row>
    <row r="28">
      <c r="A28" s="23">
        <f>IF(B28="","",ROW()-10)</f>
        <v/>
      </c>
      <c r="B28" s="25" t="n"/>
      <c r="C28" s="25" t="n"/>
      <c r="D28" s="17">
        <f>IF(C28="","",IFERROR(INDEX('案件台帳'!$B$6:$B$105,MATCH(C28,'案件台帳'!$A$6:$A$105,0)),""))</f>
        <v/>
      </c>
      <c r="E28" s="25" t="n"/>
      <c r="F28" s="45" t="n"/>
      <c r="G28" s="29" t="n"/>
      <c r="H28" s="45" t="n"/>
      <c r="I28" s="33" t="n"/>
      <c r="J28" s="45" t="n"/>
      <c r="K28" s="25" t="n"/>
      <c r="L28" s="51">
        <f>IF(OR(H28="",I28="支払い済み",B28=""),"",H28-TODAY())</f>
        <v/>
      </c>
    </row>
    <row r="29">
      <c r="A29" s="23">
        <f>IF(B29="","",ROW()-10)</f>
        <v/>
      </c>
      <c r="B29" s="25" t="n"/>
      <c r="C29" s="25" t="n"/>
      <c r="D29" s="17">
        <f>IF(C29="","",IFERROR(INDEX('案件台帳'!$B$6:$B$105,MATCH(C29,'案件台帳'!$A$6:$A$105,0)),""))</f>
        <v/>
      </c>
      <c r="E29" s="25" t="n"/>
      <c r="F29" s="45" t="n"/>
      <c r="G29" s="29" t="n"/>
      <c r="H29" s="45" t="n"/>
      <c r="I29" s="33" t="n"/>
      <c r="J29" s="45" t="n"/>
      <c r="K29" s="25" t="n"/>
      <c r="L29" s="51">
        <f>IF(OR(H29="",I29="支払い済み",B29=""),"",H29-TODAY())</f>
        <v/>
      </c>
    </row>
    <row r="30">
      <c r="A30" s="23">
        <f>IF(B30="","",ROW()-10)</f>
        <v/>
      </c>
      <c r="B30" s="25" t="n"/>
      <c r="C30" s="25" t="n"/>
      <c r="D30" s="17">
        <f>IF(C30="","",IFERROR(INDEX('案件台帳'!$B$6:$B$105,MATCH(C30,'案件台帳'!$A$6:$A$105,0)),""))</f>
        <v/>
      </c>
      <c r="E30" s="25" t="n"/>
      <c r="F30" s="45" t="n"/>
      <c r="G30" s="29" t="n"/>
      <c r="H30" s="45" t="n"/>
      <c r="I30" s="33" t="n"/>
      <c r="J30" s="45" t="n"/>
      <c r="K30" s="25" t="n"/>
      <c r="L30" s="51">
        <f>IF(OR(H30="",I30="支払い済み",B30=""),"",H30-TODAY())</f>
        <v/>
      </c>
    </row>
    <row r="31">
      <c r="A31" s="23">
        <f>IF(B31="","",ROW()-10)</f>
        <v/>
      </c>
      <c r="B31" s="25" t="n"/>
      <c r="C31" s="25" t="n"/>
      <c r="D31" s="17">
        <f>IF(C31="","",IFERROR(INDEX('案件台帳'!$B$6:$B$105,MATCH(C31,'案件台帳'!$A$6:$A$105,0)),""))</f>
        <v/>
      </c>
      <c r="E31" s="25" t="n"/>
      <c r="F31" s="45" t="n"/>
      <c r="G31" s="29" t="n"/>
      <c r="H31" s="45" t="n"/>
      <c r="I31" s="33" t="n"/>
      <c r="J31" s="45" t="n"/>
      <c r="K31" s="25" t="n"/>
      <c r="L31" s="51">
        <f>IF(OR(H31="",I31="支払い済み",B31=""),"",H31-TODAY())</f>
        <v/>
      </c>
    </row>
    <row r="32">
      <c r="A32" s="23">
        <f>IF(B32="","",ROW()-10)</f>
        <v/>
      </c>
      <c r="B32" s="25" t="n"/>
      <c r="C32" s="25" t="n"/>
      <c r="D32" s="17">
        <f>IF(C32="","",IFERROR(INDEX('案件台帳'!$B$6:$B$105,MATCH(C32,'案件台帳'!$A$6:$A$105,0)),""))</f>
        <v/>
      </c>
      <c r="E32" s="25" t="n"/>
      <c r="F32" s="45" t="n"/>
      <c r="G32" s="29" t="n"/>
      <c r="H32" s="45" t="n"/>
      <c r="I32" s="33" t="n"/>
      <c r="J32" s="45" t="n"/>
      <c r="K32" s="25" t="n"/>
      <c r="L32" s="51">
        <f>IF(OR(H32="",I32="支払い済み",B32=""),"",H32-TODAY())</f>
        <v/>
      </c>
    </row>
    <row r="33">
      <c r="A33" s="23">
        <f>IF(B33="","",ROW()-10)</f>
        <v/>
      </c>
      <c r="B33" s="25" t="n"/>
      <c r="C33" s="25" t="n"/>
      <c r="D33" s="17">
        <f>IF(C33="","",IFERROR(INDEX('案件台帳'!$B$6:$B$105,MATCH(C33,'案件台帳'!$A$6:$A$105,0)),""))</f>
        <v/>
      </c>
      <c r="E33" s="25" t="n"/>
      <c r="F33" s="45" t="n"/>
      <c r="G33" s="29" t="n"/>
      <c r="H33" s="45" t="n"/>
      <c r="I33" s="33" t="n"/>
      <c r="J33" s="45" t="n"/>
      <c r="K33" s="25" t="n"/>
      <c r="L33" s="51">
        <f>IF(OR(H33="",I33="支払い済み",B33=""),"",H33-TODAY())</f>
        <v/>
      </c>
    </row>
    <row r="34">
      <c r="A34" s="23">
        <f>IF(B34="","",ROW()-10)</f>
        <v/>
      </c>
      <c r="B34" s="25" t="n"/>
      <c r="C34" s="25" t="n"/>
      <c r="D34" s="17">
        <f>IF(C34="","",IFERROR(INDEX('案件台帳'!$B$6:$B$105,MATCH(C34,'案件台帳'!$A$6:$A$105,0)),""))</f>
        <v/>
      </c>
      <c r="E34" s="25" t="n"/>
      <c r="F34" s="45" t="n"/>
      <c r="G34" s="29" t="n"/>
      <c r="H34" s="45" t="n"/>
      <c r="I34" s="33" t="n"/>
      <c r="J34" s="45" t="n"/>
      <c r="K34" s="25" t="n"/>
      <c r="L34" s="51">
        <f>IF(OR(H34="",I34="支払い済み",B34=""),"",H34-TODAY())</f>
        <v/>
      </c>
    </row>
    <row r="35">
      <c r="A35" s="23">
        <f>IF(B35="","",ROW()-10)</f>
        <v/>
      </c>
      <c r="B35" s="25" t="n"/>
      <c r="C35" s="25" t="n"/>
      <c r="D35" s="17">
        <f>IF(C35="","",IFERROR(INDEX('案件台帳'!$B$6:$B$105,MATCH(C35,'案件台帳'!$A$6:$A$105,0)),""))</f>
        <v/>
      </c>
      <c r="E35" s="25" t="n"/>
      <c r="F35" s="45" t="n"/>
      <c r="G35" s="29" t="n"/>
      <c r="H35" s="45" t="n"/>
      <c r="I35" s="33" t="n"/>
      <c r="J35" s="45" t="n"/>
      <c r="K35" s="25" t="n"/>
      <c r="L35" s="51">
        <f>IF(OR(H35="",I35="支払い済み",B35=""),"",H35-TODAY())</f>
        <v/>
      </c>
    </row>
    <row r="36">
      <c r="A36" s="23">
        <f>IF(B36="","",ROW()-10)</f>
        <v/>
      </c>
      <c r="B36" s="25" t="n"/>
      <c r="C36" s="25" t="n"/>
      <c r="D36" s="17">
        <f>IF(C36="","",IFERROR(INDEX('案件台帳'!$B$6:$B$105,MATCH(C36,'案件台帳'!$A$6:$A$105,0)),""))</f>
        <v/>
      </c>
      <c r="E36" s="25" t="n"/>
      <c r="F36" s="45" t="n"/>
      <c r="G36" s="29" t="n"/>
      <c r="H36" s="45" t="n"/>
      <c r="I36" s="33" t="n"/>
      <c r="J36" s="45" t="n"/>
      <c r="K36" s="25" t="n"/>
      <c r="L36" s="51">
        <f>IF(OR(H36="",I36="支払い済み",B36=""),"",H36-TODAY())</f>
        <v/>
      </c>
    </row>
    <row r="37">
      <c r="A37" s="23">
        <f>IF(B37="","",ROW()-10)</f>
        <v/>
      </c>
      <c r="B37" s="25" t="n"/>
      <c r="C37" s="25" t="n"/>
      <c r="D37" s="17">
        <f>IF(C37="","",IFERROR(INDEX('案件台帳'!$B$6:$B$105,MATCH(C37,'案件台帳'!$A$6:$A$105,0)),""))</f>
        <v/>
      </c>
      <c r="E37" s="25" t="n"/>
      <c r="F37" s="45" t="n"/>
      <c r="G37" s="29" t="n"/>
      <c r="H37" s="45" t="n"/>
      <c r="I37" s="33" t="n"/>
      <c r="J37" s="45" t="n"/>
      <c r="K37" s="25" t="n"/>
      <c r="L37" s="51">
        <f>IF(OR(H37="",I37="支払い済み",B37=""),"",H37-TODAY())</f>
        <v/>
      </c>
    </row>
    <row r="38">
      <c r="A38" s="23">
        <f>IF(B38="","",ROW()-10)</f>
        <v/>
      </c>
      <c r="B38" s="25" t="n"/>
      <c r="C38" s="25" t="n"/>
      <c r="D38" s="17">
        <f>IF(C38="","",IFERROR(INDEX('案件台帳'!$B$6:$B$105,MATCH(C38,'案件台帳'!$A$6:$A$105,0)),""))</f>
        <v/>
      </c>
      <c r="E38" s="25" t="n"/>
      <c r="F38" s="45" t="n"/>
      <c r="G38" s="29" t="n"/>
      <c r="H38" s="45" t="n"/>
      <c r="I38" s="33" t="n"/>
      <c r="J38" s="45" t="n"/>
      <c r="K38" s="25" t="n"/>
      <c r="L38" s="51">
        <f>IF(OR(H38="",I38="支払い済み",B38=""),"",H38-TODAY())</f>
        <v/>
      </c>
    </row>
    <row r="39">
      <c r="A39" s="23">
        <f>IF(B39="","",ROW()-10)</f>
        <v/>
      </c>
      <c r="B39" s="25" t="n"/>
      <c r="C39" s="25" t="n"/>
      <c r="D39" s="17">
        <f>IF(C39="","",IFERROR(INDEX('案件台帳'!$B$6:$B$105,MATCH(C39,'案件台帳'!$A$6:$A$105,0)),""))</f>
        <v/>
      </c>
      <c r="E39" s="25" t="n"/>
      <c r="F39" s="45" t="n"/>
      <c r="G39" s="29" t="n"/>
      <c r="H39" s="45" t="n"/>
      <c r="I39" s="33" t="n"/>
      <c r="J39" s="45" t="n"/>
      <c r="K39" s="25" t="n"/>
      <c r="L39" s="51">
        <f>IF(OR(H39="",I39="支払い済み",B39=""),"",H39-TODAY())</f>
        <v/>
      </c>
    </row>
    <row r="40">
      <c r="A40" s="23">
        <f>IF(B40="","",ROW()-10)</f>
        <v/>
      </c>
      <c r="B40" s="25" t="n"/>
      <c r="C40" s="25" t="n"/>
      <c r="D40" s="17">
        <f>IF(C40="","",IFERROR(INDEX('案件台帳'!$B$6:$B$105,MATCH(C40,'案件台帳'!$A$6:$A$105,0)),""))</f>
        <v/>
      </c>
      <c r="E40" s="25" t="n"/>
      <c r="F40" s="45" t="n"/>
      <c r="G40" s="29" t="n"/>
      <c r="H40" s="45" t="n"/>
      <c r="I40" s="33" t="n"/>
      <c r="J40" s="45" t="n"/>
      <c r="K40" s="25" t="n"/>
      <c r="L40" s="51">
        <f>IF(OR(H40="",I40="支払い済み",B40=""),"",H40-TODAY())</f>
        <v/>
      </c>
    </row>
    <row r="41">
      <c r="A41" s="23">
        <f>IF(B41="","",ROW()-10)</f>
        <v/>
      </c>
      <c r="B41" s="25" t="n"/>
      <c r="C41" s="25" t="n"/>
      <c r="D41" s="17">
        <f>IF(C41="","",IFERROR(INDEX('案件台帳'!$B$6:$B$105,MATCH(C41,'案件台帳'!$A$6:$A$105,0)),""))</f>
        <v/>
      </c>
      <c r="E41" s="25" t="n"/>
      <c r="F41" s="45" t="n"/>
      <c r="G41" s="29" t="n"/>
      <c r="H41" s="45" t="n"/>
      <c r="I41" s="33" t="n"/>
      <c r="J41" s="45" t="n"/>
      <c r="K41" s="25" t="n"/>
      <c r="L41" s="51">
        <f>IF(OR(H41="",I41="支払い済み",B41=""),"",H41-TODAY())</f>
        <v/>
      </c>
    </row>
    <row r="42">
      <c r="A42" s="23">
        <f>IF(B42="","",ROW()-10)</f>
        <v/>
      </c>
      <c r="B42" s="25" t="n"/>
      <c r="C42" s="25" t="n"/>
      <c r="D42" s="17">
        <f>IF(C42="","",IFERROR(INDEX('案件台帳'!$B$6:$B$105,MATCH(C42,'案件台帳'!$A$6:$A$105,0)),""))</f>
        <v/>
      </c>
      <c r="E42" s="25" t="n"/>
      <c r="F42" s="45" t="n"/>
      <c r="G42" s="29" t="n"/>
      <c r="H42" s="45" t="n"/>
      <c r="I42" s="33" t="n"/>
      <c r="J42" s="45" t="n"/>
      <c r="K42" s="25" t="n"/>
      <c r="L42" s="51">
        <f>IF(OR(H42="",I42="支払い済み",B42=""),"",H42-TODAY())</f>
        <v/>
      </c>
    </row>
    <row r="43">
      <c r="A43" s="23">
        <f>IF(B43="","",ROW()-10)</f>
        <v/>
      </c>
      <c r="B43" s="25" t="n"/>
      <c r="C43" s="25" t="n"/>
      <c r="D43" s="17">
        <f>IF(C43="","",IFERROR(INDEX('案件台帳'!$B$6:$B$105,MATCH(C43,'案件台帳'!$A$6:$A$105,0)),""))</f>
        <v/>
      </c>
      <c r="E43" s="25" t="n"/>
      <c r="F43" s="45" t="n"/>
      <c r="G43" s="29" t="n"/>
      <c r="H43" s="45" t="n"/>
      <c r="I43" s="33" t="n"/>
      <c r="J43" s="45" t="n"/>
      <c r="K43" s="25" t="n"/>
      <c r="L43" s="51">
        <f>IF(OR(H43="",I43="支払い済み",B43=""),"",H43-TODAY())</f>
        <v/>
      </c>
    </row>
    <row r="44">
      <c r="A44" s="23">
        <f>IF(B44="","",ROW()-10)</f>
        <v/>
      </c>
      <c r="B44" s="25" t="n"/>
      <c r="C44" s="25" t="n"/>
      <c r="D44" s="17">
        <f>IF(C44="","",IFERROR(INDEX('案件台帳'!$B$6:$B$105,MATCH(C44,'案件台帳'!$A$6:$A$105,0)),""))</f>
        <v/>
      </c>
      <c r="E44" s="25" t="n"/>
      <c r="F44" s="45" t="n"/>
      <c r="G44" s="29" t="n"/>
      <c r="H44" s="45" t="n"/>
      <c r="I44" s="33" t="n"/>
      <c r="J44" s="45" t="n"/>
      <c r="K44" s="25" t="n"/>
      <c r="L44" s="51">
        <f>IF(OR(H44="",I44="支払い済み",B44=""),"",H44-TODAY())</f>
        <v/>
      </c>
    </row>
    <row r="45">
      <c r="A45" s="23">
        <f>IF(B45="","",ROW()-10)</f>
        <v/>
      </c>
      <c r="B45" s="25" t="n"/>
      <c r="C45" s="25" t="n"/>
      <c r="D45" s="17">
        <f>IF(C45="","",IFERROR(INDEX('案件台帳'!$B$6:$B$105,MATCH(C45,'案件台帳'!$A$6:$A$105,0)),""))</f>
        <v/>
      </c>
      <c r="E45" s="25" t="n"/>
      <c r="F45" s="45" t="n"/>
      <c r="G45" s="29" t="n"/>
      <c r="H45" s="45" t="n"/>
      <c r="I45" s="33" t="n"/>
      <c r="J45" s="45" t="n"/>
      <c r="K45" s="25" t="n"/>
      <c r="L45" s="51">
        <f>IF(OR(H45="",I45="支払い済み",B45=""),"",H45-TODAY())</f>
        <v/>
      </c>
    </row>
    <row r="46">
      <c r="A46" s="23">
        <f>IF(B46="","",ROW()-10)</f>
        <v/>
      </c>
      <c r="B46" s="25" t="n"/>
      <c r="C46" s="25" t="n"/>
      <c r="D46" s="17">
        <f>IF(C46="","",IFERROR(INDEX('案件台帳'!$B$6:$B$105,MATCH(C46,'案件台帳'!$A$6:$A$105,0)),""))</f>
        <v/>
      </c>
      <c r="E46" s="25" t="n"/>
      <c r="F46" s="45" t="n"/>
      <c r="G46" s="29" t="n"/>
      <c r="H46" s="45" t="n"/>
      <c r="I46" s="33" t="n"/>
      <c r="J46" s="45" t="n"/>
      <c r="K46" s="25" t="n"/>
      <c r="L46" s="51">
        <f>IF(OR(H46="",I46="支払い済み",B46=""),"",H46-TODAY())</f>
        <v/>
      </c>
    </row>
    <row r="47">
      <c r="A47" s="23">
        <f>IF(B47="","",ROW()-10)</f>
        <v/>
      </c>
      <c r="B47" s="25" t="n"/>
      <c r="C47" s="25" t="n"/>
      <c r="D47" s="17">
        <f>IF(C47="","",IFERROR(INDEX('案件台帳'!$B$6:$B$105,MATCH(C47,'案件台帳'!$A$6:$A$105,0)),""))</f>
        <v/>
      </c>
      <c r="E47" s="25" t="n"/>
      <c r="F47" s="45" t="n"/>
      <c r="G47" s="29" t="n"/>
      <c r="H47" s="45" t="n"/>
      <c r="I47" s="33" t="n"/>
      <c r="J47" s="45" t="n"/>
      <c r="K47" s="25" t="n"/>
      <c r="L47" s="51">
        <f>IF(OR(H47="",I47="支払い済み",B47=""),"",H47-TODAY())</f>
        <v/>
      </c>
    </row>
    <row r="48">
      <c r="A48" s="23">
        <f>IF(B48="","",ROW()-10)</f>
        <v/>
      </c>
      <c r="B48" s="25" t="n"/>
      <c r="C48" s="25" t="n"/>
      <c r="D48" s="17">
        <f>IF(C48="","",IFERROR(INDEX('案件台帳'!$B$6:$B$105,MATCH(C48,'案件台帳'!$A$6:$A$105,0)),""))</f>
        <v/>
      </c>
      <c r="E48" s="25" t="n"/>
      <c r="F48" s="45" t="n"/>
      <c r="G48" s="29" t="n"/>
      <c r="H48" s="45" t="n"/>
      <c r="I48" s="33" t="n"/>
      <c r="J48" s="45" t="n"/>
      <c r="K48" s="25" t="n"/>
      <c r="L48" s="51">
        <f>IF(OR(H48="",I48="支払い済み",B48=""),"",H48-TODAY())</f>
        <v/>
      </c>
    </row>
    <row r="49">
      <c r="A49" s="23">
        <f>IF(B49="","",ROW()-10)</f>
        <v/>
      </c>
      <c r="B49" s="25" t="n"/>
      <c r="C49" s="25" t="n"/>
      <c r="D49" s="17">
        <f>IF(C49="","",IFERROR(INDEX('案件台帳'!$B$6:$B$105,MATCH(C49,'案件台帳'!$A$6:$A$105,0)),""))</f>
        <v/>
      </c>
      <c r="E49" s="25" t="n"/>
      <c r="F49" s="45" t="n"/>
      <c r="G49" s="29" t="n"/>
      <c r="H49" s="45" t="n"/>
      <c r="I49" s="33" t="n"/>
      <c r="J49" s="45" t="n"/>
      <c r="K49" s="25" t="n"/>
      <c r="L49" s="51">
        <f>IF(OR(H49="",I49="支払い済み",B49=""),"",H49-TODAY())</f>
        <v/>
      </c>
    </row>
    <row r="50">
      <c r="A50" s="23">
        <f>IF(B50="","",ROW()-10)</f>
        <v/>
      </c>
      <c r="B50" s="25" t="n"/>
      <c r="C50" s="25" t="n"/>
      <c r="D50" s="17">
        <f>IF(C50="","",IFERROR(INDEX('案件台帳'!$B$6:$B$105,MATCH(C50,'案件台帳'!$A$6:$A$105,0)),""))</f>
        <v/>
      </c>
      <c r="E50" s="25" t="n"/>
      <c r="F50" s="45" t="n"/>
      <c r="G50" s="29" t="n"/>
      <c r="H50" s="45" t="n"/>
      <c r="I50" s="33" t="n"/>
      <c r="J50" s="45" t="n"/>
      <c r="K50" s="25" t="n"/>
      <c r="L50" s="51">
        <f>IF(OR(H50="",I50="支払い済み",B50=""),"",H50-TODAY())</f>
        <v/>
      </c>
    </row>
    <row r="51">
      <c r="A51" s="23">
        <f>IF(B51="","",ROW()-10)</f>
        <v/>
      </c>
      <c r="B51" s="25" t="n"/>
      <c r="C51" s="25" t="n"/>
      <c r="D51" s="17">
        <f>IF(C51="","",IFERROR(INDEX('案件台帳'!$B$6:$B$105,MATCH(C51,'案件台帳'!$A$6:$A$105,0)),""))</f>
        <v/>
      </c>
      <c r="E51" s="25" t="n"/>
      <c r="F51" s="45" t="n"/>
      <c r="G51" s="29" t="n"/>
      <c r="H51" s="45" t="n"/>
      <c r="I51" s="33" t="n"/>
      <c r="J51" s="45" t="n"/>
      <c r="K51" s="25" t="n"/>
      <c r="L51" s="51">
        <f>IF(OR(H51="",I51="支払い済み",B51=""),"",H51-TODAY())</f>
        <v/>
      </c>
    </row>
    <row r="52">
      <c r="A52" s="23">
        <f>IF(B52="","",ROW()-10)</f>
        <v/>
      </c>
      <c r="B52" s="25" t="n"/>
      <c r="C52" s="25" t="n"/>
      <c r="D52" s="17">
        <f>IF(C52="","",IFERROR(INDEX('案件台帳'!$B$6:$B$105,MATCH(C52,'案件台帳'!$A$6:$A$105,0)),""))</f>
        <v/>
      </c>
      <c r="E52" s="25" t="n"/>
      <c r="F52" s="45" t="n"/>
      <c r="G52" s="29" t="n"/>
      <c r="H52" s="45" t="n"/>
      <c r="I52" s="33" t="n"/>
      <c r="J52" s="45" t="n"/>
      <c r="K52" s="25" t="n"/>
      <c r="L52" s="51">
        <f>IF(OR(H52="",I52="支払い済み",B52=""),"",H52-TODAY())</f>
        <v/>
      </c>
    </row>
    <row r="53">
      <c r="A53" s="23">
        <f>IF(B53="","",ROW()-10)</f>
        <v/>
      </c>
      <c r="B53" s="25" t="n"/>
      <c r="C53" s="25" t="n"/>
      <c r="D53" s="17">
        <f>IF(C53="","",IFERROR(INDEX('案件台帳'!$B$6:$B$105,MATCH(C53,'案件台帳'!$A$6:$A$105,0)),""))</f>
        <v/>
      </c>
      <c r="E53" s="25" t="n"/>
      <c r="F53" s="45" t="n"/>
      <c r="G53" s="29" t="n"/>
      <c r="H53" s="45" t="n"/>
      <c r="I53" s="33" t="n"/>
      <c r="J53" s="45" t="n"/>
      <c r="K53" s="25" t="n"/>
      <c r="L53" s="51">
        <f>IF(OR(H53="",I53="支払い済み",B53=""),"",H53-TODAY())</f>
        <v/>
      </c>
    </row>
    <row r="54">
      <c r="A54" s="23">
        <f>IF(B54="","",ROW()-10)</f>
        <v/>
      </c>
      <c r="B54" s="25" t="n"/>
      <c r="C54" s="25" t="n"/>
      <c r="D54" s="17">
        <f>IF(C54="","",IFERROR(INDEX('案件台帳'!$B$6:$B$105,MATCH(C54,'案件台帳'!$A$6:$A$105,0)),""))</f>
        <v/>
      </c>
      <c r="E54" s="25" t="n"/>
      <c r="F54" s="45" t="n"/>
      <c r="G54" s="29" t="n"/>
      <c r="H54" s="45" t="n"/>
      <c r="I54" s="33" t="n"/>
      <c r="J54" s="45" t="n"/>
      <c r="K54" s="25" t="n"/>
      <c r="L54" s="51">
        <f>IF(OR(H54="",I54="支払い済み",B54=""),"",H54-TODAY())</f>
        <v/>
      </c>
    </row>
    <row r="55">
      <c r="A55" s="23">
        <f>IF(B55="","",ROW()-10)</f>
        <v/>
      </c>
      <c r="B55" s="25" t="n"/>
      <c r="C55" s="25" t="n"/>
      <c r="D55" s="17">
        <f>IF(C55="","",IFERROR(INDEX('案件台帳'!$B$6:$B$105,MATCH(C55,'案件台帳'!$A$6:$A$105,0)),""))</f>
        <v/>
      </c>
      <c r="E55" s="25" t="n"/>
      <c r="F55" s="45" t="n"/>
      <c r="G55" s="29" t="n"/>
      <c r="H55" s="45" t="n"/>
      <c r="I55" s="33" t="n"/>
      <c r="J55" s="45" t="n"/>
      <c r="K55" s="25" t="n"/>
      <c r="L55" s="51">
        <f>IF(OR(H55="",I55="支払い済み",B55=""),"",H55-TODAY())</f>
        <v/>
      </c>
    </row>
    <row r="56">
      <c r="A56" s="23">
        <f>IF(B56="","",ROW()-10)</f>
        <v/>
      </c>
      <c r="B56" s="25" t="n"/>
      <c r="C56" s="25" t="n"/>
      <c r="D56" s="17">
        <f>IF(C56="","",IFERROR(INDEX('案件台帳'!$B$6:$B$105,MATCH(C56,'案件台帳'!$A$6:$A$105,0)),""))</f>
        <v/>
      </c>
      <c r="E56" s="25" t="n"/>
      <c r="F56" s="45" t="n"/>
      <c r="G56" s="29" t="n"/>
      <c r="H56" s="45" t="n"/>
      <c r="I56" s="33" t="n"/>
      <c r="J56" s="45" t="n"/>
      <c r="K56" s="25" t="n"/>
      <c r="L56" s="51">
        <f>IF(OR(H56="",I56="支払い済み",B56=""),"",H56-TODAY())</f>
        <v/>
      </c>
    </row>
    <row r="57">
      <c r="A57" s="23">
        <f>IF(B57="","",ROW()-10)</f>
        <v/>
      </c>
      <c r="B57" s="25" t="n"/>
      <c r="C57" s="25" t="n"/>
      <c r="D57" s="17">
        <f>IF(C57="","",IFERROR(INDEX('案件台帳'!$B$6:$B$105,MATCH(C57,'案件台帳'!$A$6:$A$105,0)),""))</f>
        <v/>
      </c>
      <c r="E57" s="25" t="n"/>
      <c r="F57" s="45" t="n"/>
      <c r="G57" s="29" t="n"/>
      <c r="H57" s="45" t="n"/>
      <c r="I57" s="33" t="n"/>
      <c r="J57" s="45" t="n"/>
      <c r="K57" s="25" t="n"/>
      <c r="L57" s="51">
        <f>IF(OR(H57="",I57="支払い済み",B57=""),"",H57-TODAY())</f>
        <v/>
      </c>
    </row>
    <row r="58">
      <c r="A58" s="23">
        <f>IF(B58="","",ROW()-10)</f>
        <v/>
      </c>
      <c r="B58" s="25" t="n"/>
      <c r="C58" s="25" t="n"/>
      <c r="D58" s="17">
        <f>IF(C58="","",IFERROR(INDEX('案件台帳'!$B$6:$B$105,MATCH(C58,'案件台帳'!$A$6:$A$105,0)),""))</f>
        <v/>
      </c>
      <c r="E58" s="25" t="n"/>
      <c r="F58" s="45" t="n"/>
      <c r="G58" s="29" t="n"/>
      <c r="H58" s="45" t="n"/>
      <c r="I58" s="33" t="n"/>
      <c r="J58" s="45" t="n"/>
      <c r="K58" s="25" t="n"/>
      <c r="L58" s="51">
        <f>IF(OR(H58="",I58="支払い済み",B58=""),"",H58-TODAY())</f>
        <v/>
      </c>
    </row>
    <row r="59">
      <c r="A59" s="23">
        <f>IF(B59="","",ROW()-10)</f>
        <v/>
      </c>
      <c r="B59" s="25" t="n"/>
      <c r="C59" s="25" t="n"/>
      <c r="D59" s="17">
        <f>IF(C59="","",IFERROR(INDEX('案件台帳'!$B$6:$B$105,MATCH(C59,'案件台帳'!$A$6:$A$105,0)),""))</f>
        <v/>
      </c>
      <c r="E59" s="25" t="n"/>
      <c r="F59" s="45" t="n"/>
      <c r="G59" s="29" t="n"/>
      <c r="H59" s="45" t="n"/>
      <c r="I59" s="33" t="n"/>
      <c r="J59" s="45" t="n"/>
      <c r="K59" s="25" t="n"/>
      <c r="L59" s="51">
        <f>IF(OR(H59="",I59="支払い済み",B59=""),"",H59-TODAY())</f>
        <v/>
      </c>
    </row>
    <row r="60">
      <c r="A60" s="23">
        <f>IF(B60="","",ROW()-10)</f>
        <v/>
      </c>
      <c r="B60" s="25" t="n"/>
      <c r="C60" s="25" t="n"/>
      <c r="D60" s="17">
        <f>IF(C60="","",IFERROR(INDEX('案件台帳'!$B$6:$B$105,MATCH(C60,'案件台帳'!$A$6:$A$105,0)),""))</f>
        <v/>
      </c>
      <c r="E60" s="25" t="n"/>
      <c r="F60" s="45" t="n"/>
      <c r="G60" s="29" t="n"/>
      <c r="H60" s="45" t="n"/>
      <c r="I60" s="33" t="n"/>
      <c r="J60" s="45" t="n"/>
      <c r="K60" s="25" t="n"/>
      <c r="L60" s="51">
        <f>IF(OR(H60="",I60="支払い済み",B60=""),"",H60-TODAY())</f>
        <v/>
      </c>
    </row>
    <row r="61">
      <c r="A61" s="23">
        <f>IF(B61="","",ROW()-10)</f>
        <v/>
      </c>
      <c r="B61" s="25" t="n"/>
      <c r="C61" s="25" t="n"/>
      <c r="D61" s="17">
        <f>IF(C61="","",IFERROR(INDEX('案件台帳'!$B$6:$B$105,MATCH(C61,'案件台帳'!$A$6:$A$105,0)),""))</f>
        <v/>
      </c>
      <c r="E61" s="25" t="n"/>
      <c r="F61" s="45" t="n"/>
      <c r="G61" s="29" t="n"/>
      <c r="H61" s="45" t="n"/>
      <c r="I61" s="33" t="n"/>
      <c r="J61" s="45" t="n"/>
      <c r="K61" s="25" t="n"/>
      <c r="L61" s="51">
        <f>IF(OR(H61="",I61="支払い済み",B61=""),"",H61-TODAY())</f>
        <v/>
      </c>
    </row>
    <row r="62">
      <c r="A62" s="23">
        <f>IF(B62="","",ROW()-10)</f>
        <v/>
      </c>
      <c r="B62" s="25" t="n"/>
      <c r="C62" s="25" t="n"/>
      <c r="D62" s="17">
        <f>IF(C62="","",IFERROR(INDEX('案件台帳'!$B$6:$B$105,MATCH(C62,'案件台帳'!$A$6:$A$105,0)),""))</f>
        <v/>
      </c>
      <c r="E62" s="25" t="n"/>
      <c r="F62" s="45" t="n"/>
      <c r="G62" s="29" t="n"/>
      <c r="H62" s="45" t="n"/>
      <c r="I62" s="33" t="n"/>
      <c r="J62" s="45" t="n"/>
      <c r="K62" s="25" t="n"/>
      <c r="L62" s="51">
        <f>IF(OR(H62="",I62="支払い済み",B62=""),"",H62-TODAY())</f>
        <v/>
      </c>
    </row>
    <row r="63">
      <c r="A63" s="23">
        <f>IF(B63="","",ROW()-10)</f>
        <v/>
      </c>
      <c r="B63" s="25" t="n"/>
      <c r="C63" s="25" t="n"/>
      <c r="D63" s="17">
        <f>IF(C63="","",IFERROR(INDEX('案件台帳'!$B$6:$B$105,MATCH(C63,'案件台帳'!$A$6:$A$105,0)),""))</f>
        <v/>
      </c>
      <c r="E63" s="25" t="n"/>
      <c r="F63" s="45" t="n"/>
      <c r="G63" s="29" t="n"/>
      <c r="H63" s="45" t="n"/>
      <c r="I63" s="33" t="n"/>
      <c r="J63" s="45" t="n"/>
      <c r="K63" s="25" t="n"/>
      <c r="L63" s="51">
        <f>IF(OR(H63="",I63="支払い済み",B63=""),"",H63-TODAY())</f>
        <v/>
      </c>
    </row>
    <row r="64">
      <c r="A64" s="23">
        <f>IF(B64="","",ROW()-10)</f>
        <v/>
      </c>
      <c r="B64" s="25" t="n"/>
      <c r="C64" s="25" t="n"/>
      <c r="D64" s="17">
        <f>IF(C64="","",IFERROR(INDEX('案件台帳'!$B$6:$B$105,MATCH(C64,'案件台帳'!$A$6:$A$105,0)),""))</f>
        <v/>
      </c>
      <c r="E64" s="25" t="n"/>
      <c r="F64" s="45" t="n"/>
      <c r="G64" s="29" t="n"/>
      <c r="H64" s="45" t="n"/>
      <c r="I64" s="33" t="n"/>
      <c r="J64" s="45" t="n"/>
      <c r="K64" s="25" t="n"/>
      <c r="L64" s="51">
        <f>IF(OR(H64="",I64="支払い済み",B64=""),"",H64-TODAY())</f>
        <v/>
      </c>
    </row>
    <row r="65">
      <c r="A65" s="23">
        <f>IF(B65="","",ROW()-10)</f>
        <v/>
      </c>
      <c r="B65" s="25" t="n"/>
      <c r="C65" s="25" t="n"/>
      <c r="D65" s="17">
        <f>IF(C65="","",IFERROR(INDEX('案件台帳'!$B$6:$B$105,MATCH(C65,'案件台帳'!$A$6:$A$105,0)),""))</f>
        <v/>
      </c>
      <c r="E65" s="25" t="n"/>
      <c r="F65" s="45" t="n"/>
      <c r="G65" s="29" t="n"/>
      <c r="H65" s="45" t="n"/>
      <c r="I65" s="33" t="n"/>
      <c r="J65" s="45" t="n"/>
      <c r="K65" s="25" t="n"/>
      <c r="L65" s="51">
        <f>IF(OR(H65="",I65="支払い済み",B65=""),"",H65-TODAY())</f>
        <v/>
      </c>
    </row>
    <row r="66">
      <c r="A66" s="23">
        <f>IF(B66="","",ROW()-10)</f>
        <v/>
      </c>
      <c r="B66" s="25" t="n"/>
      <c r="C66" s="25" t="n"/>
      <c r="D66" s="17">
        <f>IF(C66="","",IFERROR(INDEX('案件台帳'!$B$6:$B$105,MATCH(C66,'案件台帳'!$A$6:$A$105,0)),""))</f>
        <v/>
      </c>
      <c r="E66" s="25" t="n"/>
      <c r="F66" s="45" t="n"/>
      <c r="G66" s="29" t="n"/>
      <c r="H66" s="45" t="n"/>
      <c r="I66" s="33" t="n"/>
      <c r="J66" s="45" t="n"/>
      <c r="K66" s="25" t="n"/>
      <c r="L66" s="51">
        <f>IF(OR(H66="",I66="支払い済み",B66=""),"",H66-TODAY())</f>
        <v/>
      </c>
    </row>
    <row r="67">
      <c r="A67" s="23">
        <f>IF(B67="","",ROW()-10)</f>
        <v/>
      </c>
      <c r="B67" s="25" t="n"/>
      <c r="C67" s="25" t="n"/>
      <c r="D67" s="17">
        <f>IF(C67="","",IFERROR(INDEX('案件台帳'!$B$6:$B$105,MATCH(C67,'案件台帳'!$A$6:$A$105,0)),""))</f>
        <v/>
      </c>
      <c r="E67" s="25" t="n"/>
      <c r="F67" s="45" t="n"/>
      <c r="G67" s="29" t="n"/>
      <c r="H67" s="45" t="n"/>
      <c r="I67" s="33" t="n"/>
      <c r="J67" s="45" t="n"/>
      <c r="K67" s="25" t="n"/>
      <c r="L67" s="51">
        <f>IF(OR(H67="",I67="支払い済み",B67=""),"",H67-TODAY())</f>
        <v/>
      </c>
    </row>
    <row r="68">
      <c r="A68" s="23">
        <f>IF(B68="","",ROW()-10)</f>
        <v/>
      </c>
      <c r="B68" s="25" t="n"/>
      <c r="C68" s="25" t="n"/>
      <c r="D68" s="17">
        <f>IF(C68="","",IFERROR(INDEX('案件台帳'!$B$6:$B$105,MATCH(C68,'案件台帳'!$A$6:$A$105,0)),""))</f>
        <v/>
      </c>
      <c r="E68" s="25" t="n"/>
      <c r="F68" s="45" t="n"/>
      <c r="G68" s="29" t="n"/>
      <c r="H68" s="45" t="n"/>
      <c r="I68" s="33" t="n"/>
      <c r="J68" s="45" t="n"/>
      <c r="K68" s="25" t="n"/>
      <c r="L68" s="51">
        <f>IF(OR(H68="",I68="支払い済み",B68=""),"",H68-TODAY())</f>
        <v/>
      </c>
    </row>
    <row r="69">
      <c r="A69" s="23">
        <f>IF(B69="","",ROW()-10)</f>
        <v/>
      </c>
      <c r="B69" s="25" t="n"/>
      <c r="C69" s="25" t="n"/>
      <c r="D69" s="17">
        <f>IF(C69="","",IFERROR(INDEX('案件台帳'!$B$6:$B$105,MATCH(C69,'案件台帳'!$A$6:$A$105,0)),""))</f>
        <v/>
      </c>
      <c r="E69" s="25" t="n"/>
      <c r="F69" s="45" t="n"/>
      <c r="G69" s="29" t="n"/>
      <c r="H69" s="45" t="n"/>
      <c r="I69" s="33" t="n"/>
      <c r="J69" s="45" t="n"/>
      <c r="K69" s="25" t="n"/>
      <c r="L69" s="51">
        <f>IF(OR(H69="",I69="支払い済み",B69=""),"",H69-TODAY())</f>
        <v/>
      </c>
    </row>
    <row r="70">
      <c r="A70" s="23">
        <f>IF(B70="","",ROW()-10)</f>
        <v/>
      </c>
      <c r="B70" s="25" t="n"/>
      <c r="C70" s="25" t="n"/>
      <c r="D70" s="17">
        <f>IF(C70="","",IFERROR(INDEX('案件台帳'!$B$6:$B$105,MATCH(C70,'案件台帳'!$A$6:$A$105,0)),""))</f>
        <v/>
      </c>
      <c r="E70" s="25" t="n"/>
      <c r="F70" s="45" t="n"/>
      <c r="G70" s="29" t="n"/>
      <c r="H70" s="45" t="n"/>
      <c r="I70" s="33" t="n"/>
      <c r="J70" s="45" t="n"/>
      <c r="K70" s="25" t="n"/>
      <c r="L70" s="51">
        <f>IF(OR(H70="",I70="支払い済み",B70=""),"",H70-TODAY())</f>
        <v/>
      </c>
    </row>
    <row r="71">
      <c r="A71" s="23">
        <f>IF(B71="","",ROW()-10)</f>
        <v/>
      </c>
      <c r="B71" s="25" t="n"/>
      <c r="C71" s="25" t="n"/>
      <c r="D71" s="17">
        <f>IF(C71="","",IFERROR(INDEX('案件台帳'!$B$6:$B$105,MATCH(C71,'案件台帳'!$A$6:$A$105,0)),""))</f>
        <v/>
      </c>
      <c r="E71" s="25" t="n"/>
      <c r="F71" s="45" t="n"/>
      <c r="G71" s="29" t="n"/>
      <c r="H71" s="45" t="n"/>
      <c r="I71" s="33" t="n"/>
      <c r="J71" s="45" t="n"/>
      <c r="K71" s="25" t="n"/>
      <c r="L71" s="51">
        <f>IF(OR(H71="",I71="支払い済み",B71=""),"",H71-TODAY())</f>
        <v/>
      </c>
    </row>
    <row r="72">
      <c r="A72" s="23">
        <f>IF(B72="","",ROW()-10)</f>
        <v/>
      </c>
      <c r="B72" s="25" t="n"/>
      <c r="C72" s="25" t="n"/>
      <c r="D72" s="17">
        <f>IF(C72="","",IFERROR(INDEX('案件台帳'!$B$6:$B$105,MATCH(C72,'案件台帳'!$A$6:$A$105,0)),""))</f>
        <v/>
      </c>
      <c r="E72" s="25" t="n"/>
      <c r="F72" s="45" t="n"/>
      <c r="G72" s="29" t="n"/>
      <c r="H72" s="45" t="n"/>
      <c r="I72" s="33" t="n"/>
      <c r="J72" s="45" t="n"/>
      <c r="K72" s="25" t="n"/>
      <c r="L72" s="51">
        <f>IF(OR(H72="",I72="支払い済み",B72=""),"",H72-TODAY())</f>
        <v/>
      </c>
    </row>
    <row r="73">
      <c r="A73" s="23">
        <f>IF(B73="","",ROW()-10)</f>
        <v/>
      </c>
      <c r="B73" s="25" t="n"/>
      <c r="C73" s="25" t="n"/>
      <c r="D73" s="17">
        <f>IF(C73="","",IFERROR(INDEX('案件台帳'!$B$6:$B$105,MATCH(C73,'案件台帳'!$A$6:$A$105,0)),""))</f>
        <v/>
      </c>
      <c r="E73" s="25" t="n"/>
      <c r="F73" s="45" t="n"/>
      <c r="G73" s="29" t="n"/>
      <c r="H73" s="45" t="n"/>
      <c r="I73" s="33" t="n"/>
      <c r="J73" s="45" t="n"/>
      <c r="K73" s="25" t="n"/>
      <c r="L73" s="51">
        <f>IF(OR(H73="",I73="支払い済み",B73=""),"",H73-TODAY())</f>
        <v/>
      </c>
    </row>
    <row r="74">
      <c r="A74" s="23">
        <f>IF(B74="","",ROW()-10)</f>
        <v/>
      </c>
      <c r="B74" s="25" t="n"/>
      <c r="C74" s="25" t="n"/>
      <c r="D74" s="17">
        <f>IF(C74="","",IFERROR(INDEX('案件台帳'!$B$6:$B$105,MATCH(C74,'案件台帳'!$A$6:$A$105,0)),""))</f>
        <v/>
      </c>
      <c r="E74" s="25" t="n"/>
      <c r="F74" s="45" t="n"/>
      <c r="G74" s="29" t="n"/>
      <c r="H74" s="45" t="n"/>
      <c r="I74" s="33" t="n"/>
      <c r="J74" s="45" t="n"/>
      <c r="K74" s="25" t="n"/>
      <c r="L74" s="51">
        <f>IF(OR(H74="",I74="支払い済み",B74=""),"",H74-TODAY())</f>
        <v/>
      </c>
    </row>
    <row r="75">
      <c r="A75" s="23">
        <f>IF(B75="","",ROW()-10)</f>
        <v/>
      </c>
      <c r="B75" s="25" t="n"/>
      <c r="C75" s="25" t="n"/>
      <c r="D75" s="17">
        <f>IF(C75="","",IFERROR(INDEX('案件台帳'!$B$6:$B$105,MATCH(C75,'案件台帳'!$A$6:$A$105,0)),""))</f>
        <v/>
      </c>
      <c r="E75" s="25" t="n"/>
      <c r="F75" s="45" t="n"/>
      <c r="G75" s="29" t="n"/>
      <c r="H75" s="45" t="n"/>
      <c r="I75" s="33" t="n"/>
      <c r="J75" s="45" t="n"/>
      <c r="K75" s="25" t="n"/>
      <c r="L75" s="51">
        <f>IF(OR(H75="",I75="支払い済み",B75=""),"",H75-TODAY())</f>
        <v/>
      </c>
    </row>
    <row r="76">
      <c r="A76" s="23">
        <f>IF(B76="","",ROW()-10)</f>
        <v/>
      </c>
      <c r="B76" s="25" t="n"/>
      <c r="C76" s="25" t="n"/>
      <c r="D76" s="17">
        <f>IF(C76="","",IFERROR(INDEX('案件台帳'!$B$6:$B$105,MATCH(C76,'案件台帳'!$A$6:$A$105,0)),""))</f>
        <v/>
      </c>
      <c r="E76" s="25" t="n"/>
      <c r="F76" s="45" t="n"/>
      <c r="G76" s="29" t="n"/>
      <c r="H76" s="45" t="n"/>
      <c r="I76" s="33" t="n"/>
      <c r="J76" s="45" t="n"/>
      <c r="K76" s="25" t="n"/>
      <c r="L76" s="51">
        <f>IF(OR(H76="",I76="支払い済み",B76=""),"",H76-TODAY())</f>
        <v/>
      </c>
    </row>
    <row r="77">
      <c r="A77" s="23">
        <f>IF(B77="","",ROW()-10)</f>
        <v/>
      </c>
      <c r="B77" s="25" t="n"/>
      <c r="C77" s="25" t="n"/>
      <c r="D77" s="17">
        <f>IF(C77="","",IFERROR(INDEX('案件台帳'!$B$6:$B$105,MATCH(C77,'案件台帳'!$A$6:$A$105,0)),""))</f>
        <v/>
      </c>
      <c r="E77" s="25" t="n"/>
      <c r="F77" s="45" t="n"/>
      <c r="G77" s="29" t="n"/>
      <c r="H77" s="45" t="n"/>
      <c r="I77" s="33" t="n"/>
      <c r="J77" s="45" t="n"/>
      <c r="K77" s="25" t="n"/>
      <c r="L77" s="51">
        <f>IF(OR(H77="",I77="支払い済み",B77=""),"",H77-TODAY())</f>
        <v/>
      </c>
    </row>
    <row r="78">
      <c r="A78" s="23">
        <f>IF(B78="","",ROW()-10)</f>
        <v/>
      </c>
      <c r="B78" s="25" t="n"/>
      <c r="C78" s="25" t="n"/>
      <c r="D78" s="17">
        <f>IF(C78="","",IFERROR(INDEX('案件台帳'!$B$6:$B$105,MATCH(C78,'案件台帳'!$A$6:$A$105,0)),""))</f>
        <v/>
      </c>
      <c r="E78" s="25" t="n"/>
      <c r="F78" s="45" t="n"/>
      <c r="G78" s="29" t="n"/>
      <c r="H78" s="45" t="n"/>
      <c r="I78" s="33" t="n"/>
      <c r="J78" s="45" t="n"/>
      <c r="K78" s="25" t="n"/>
      <c r="L78" s="51">
        <f>IF(OR(H78="",I78="支払い済み",B78=""),"",H78-TODAY())</f>
        <v/>
      </c>
    </row>
    <row r="79">
      <c r="A79" s="23">
        <f>IF(B79="","",ROW()-10)</f>
        <v/>
      </c>
      <c r="B79" s="25" t="n"/>
      <c r="C79" s="25" t="n"/>
      <c r="D79" s="17">
        <f>IF(C79="","",IFERROR(INDEX('案件台帳'!$B$6:$B$105,MATCH(C79,'案件台帳'!$A$6:$A$105,0)),""))</f>
        <v/>
      </c>
      <c r="E79" s="25" t="n"/>
      <c r="F79" s="45" t="n"/>
      <c r="G79" s="29" t="n"/>
      <c r="H79" s="45" t="n"/>
      <c r="I79" s="33" t="n"/>
      <c r="J79" s="45" t="n"/>
      <c r="K79" s="25" t="n"/>
      <c r="L79" s="51">
        <f>IF(OR(H79="",I79="支払い済み",B79=""),"",H79-TODAY())</f>
        <v/>
      </c>
    </row>
    <row r="80">
      <c r="A80" s="23">
        <f>IF(B80="","",ROW()-10)</f>
        <v/>
      </c>
      <c r="B80" s="25" t="n"/>
      <c r="C80" s="25" t="n"/>
      <c r="D80" s="17">
        <f>IF(C80="","",IFERROR(INDEX('案件台帳'!$B$6:$B$105,MATCH(C80,'案件台帳'!$A$6:$A$105,0)),""))</f>
        <v/>
      </c>
      <c r="E80" s="25" t="n"/>
      <c r="F80" s="45" t="n"/>
      <c r="G80" s="29" t="n"/>
      <c r="H80" s="45" t="n"/>
      <c r="I80" s="33" t="n"/>
      <c r="J80" s="45" t="n"/>
      <c r="K80" s="25" t="n"/>
      <c r="L80" s="51">
        <f>IF(OR(H80="",I80="支払い済み",B80=""),"",H80-TODAY())</f>
        <v/>
      </c>
    </row>
    <row r="81">
      <c r="A81" s="23">
        <f>IF(B81="","",ROW()-10)</f>
        <v/>
      </c>
      <c r="B81" s="25" t="n"/>
      <c r="C81" s="25" t="n"/>
      <c r="D81" s="17">
        <f>IF(C81="","",IFERROR(INDEX('案件台帳'!$B$6:$B$105,MATCH(C81,'案件台帳'!$A$6:$A$105,0)),""))</f>
        <v/>
      </c>
      <c r="E81" s="25" t="n"/>
      <c r="F81" s="45" t="n"/>
      <c r="G81" s="29" t="n"/>
      <c r="H81" s="45" t="n"/>
      <c r="I81" s="33" t="n"/>
      <c r="J81" s="45" t="n"/>
      <c r="K81" s="25" t="n"/>
      <c r="L81" s="51">
        <f>IF(OR(H81="",I81="支払い済み",B81=""),"",H81-TODAY())</f>
        <v/>
      </c>
    </row>
    <row r="82">
      <c r="A82" s="23">
        <f>IF(B82="","",ROW()-10)</f>
        <v/>
      </c>
      <c r="B82" s="25" t="n"/>
      <c r="C82" s="25" t="n"/>
      <c r="D82" s="17">
        <f>IF(C82="","",IFERROR(INDEX('案件台帳'!$B$6:$B$105,MATCH(C82,'案件台帳'!$A$6:$A$105,0)),""))</f>
        <v/>
      </c>
      <c r="E82" s="25" t="n"/>
      <c r="F82" s="45" t="n"/>
      <c r="G82" s="29" t="n"/>
      <c r="H82" s="45" t="n"/>
      <c r="I82" s="33" t="n"/>
      <c r="J82" s="45" t="n"/>
      <c r="K82" s="25" t="n"/>
      <c r="L82" s="51">
        <f>IF(OR(H82="",I82="支払い済み",B82=""),"",H82-TODAY())</f>
        <v/>
      </c>
    </row>
    <row r="83">
      <c r="A83" s="23">
        <f>IF(B83="","",ROW()-10)</f>
        <v/>
      </c>
      <c r="B83" s="25" t="n"/>
      <c r="C83" s="25" t="n"/>
      <c r="D83" s="17">
        <f>IF(C83="","",IFERROR(INDEX('案件台帳'!$B$6:$B$105,MATCH(C83,'案件台帳'!$A$6:$A$105,0)),""))</f>
        <v/>
      </c>
      <c r="E83" s="25" t="n"/>
      <c r="F83" s="45" t="n"/>
      <c r="G83" s="29" t="n"/>
      <c r="H83" s="45" t="n"/>
      <c r="I83" s="33" t="n"/>
      <c r="J83" s="45" t="n"/>
      <c r="K83" s="25" t="n"/>
      <c r="L83" s="51">
        <f>IF(OR(H83="",I83="支払い済み",B83=""),"",H83-TODAY())</f>
        <v/>
      </c>
    </row>
    <row r="84">
      <c r="A84" s="23">
        <f>IF(B84="","",ROW()-10)</f>
        <v/>
      </c>
      <c r="B84" s="25" t="n"/>
      <c r="C84" s="25" t="n"/>
      <c r="D84" s="17">
        <f>IF(C84="","",IFERROR(INDEX('案件台帳'!$B$6:$B$105,MATCH(C84,'案件台帳'!$A$6:$A$105,0)),""))</f>
        <v/>
      </c>
      <c r="E84" s="25" t="n"/>
      <c r="F84" s="45" t="n"/>
      <c r="G84" s="29" t="n"/>
      <c r="H84" s="45" t="n"/>
      <c r="I84" s="33" t="n"/>
      <c r="J84" s="45" t="n"/>
      <c r="K84" s="25" t="n"/>
      <c r="L84" s="51">
        <f>IF(OR(H84="",I84="支払い済み",B84=""),"",H84-TODAY())</f>
        <v/>
      </c>
    </row>
    <row r="85">
      <c r="A85" s="23">
        <f>IF(B85="","",ROW()-10)</f>
        <v/>
      </c>
      <c r="B85" s="25" t="n"/>
      <c r="C85" s="25" t="n"/>
      <c r="D85" s="17">
        <f>IF(C85="","",IFERROR(INDEX('案件台帳'!$B$6:$B$105,MATCH(C85,'案件台帳'!$A$6:$A$105,0)),""))</f>
        <v/>
      </c>
      <c r="E85" s="25" t="n"/>
      <c r="F85" s="45" t="n"/>
      <c r="G85" s="29" t="n"/>
      <c r="H85" s="45" t="n"/>
      <c r="I85" s="33" t="n"/>
      <c r="J85" s="45" t="n"/>
      <c r="K85" s="25" t="n"/>
      <c r="L85" s="51">
        <f>IF(OR(H85="",I85="支払い済み",B85=""),"",H85-TODAY())</f>
        <v/>
      </c>
    </row>
    <row r="86">
      <c r="A86" s="23">
        <f>IF(B86="","",ROW()-10)</f>
        <v/>
      </c>
      <c r="B86" s="25" t="n"/>
      <c r="C86" s="25" t="n"/>
      <c r="D86" s="17">
        <f>IF(C86="","",IFERROR(INDEX('案件台帳'!$B$6:$B$105,MATCH(C86,'案件台帳'!$A$6:$A$105,0)),""))</f>
        <v/>
      </c>
      <c r="E86" s="25" t="n"/>
      <c r="F86" s="45" t="n"/>
      <c r="G86" s="29" t="n"/>
      <c r="H86" s="45" t="n"/>
      <c r="I86" s="33" t="n"/>
      <c r="J86" s="45" t="n"/>
      <c r="K86" s="25" t="n"/>
      <c r="L86" s="51">
        <f>IF(OR(H86="",I86="支払い済み",B86=""),"",H86-TODAY())</f>
        <v/>
      </c>
    </row>
    <row r="87">
      <c r="A87" s="23">
        <f>IF(B87="","",ROW()-10)</f>
        <v/>
      </c>
      <c r="B87" s="25" t="n"/>
      <c r="C87" s="25" t="n"/>
      <c r="D87" s="17">
        <f>IF(C87="","",IFERROR(INDEX('案件台帳'!$B$6:$B$105,MATCH(C87,'案件台帳'!$A$6:$A$105,0)),""))</f>
        <v/>
      </c>
      <c r="E87" s="25" t="n"/>
      <c r="F87" s="45" t="n"/>
      <c r="G87" s="29" t="n"/>
      <c r="H87" s="45" t="n"/>
      <c r="I87" s="33" t="n"/>
      <c r="J87" s="45" t="n"/>
      <c r="K87" s="25" t="n"/>
      <c r="L87" s="51">
        <f>IF(OR(H87="",I87="支払い済み",B87=""),"",H87-TODAY())</f>
        <v/>
      </c>
    </row>
    <row r="88">
      <c r="A88" s="23">
        <f>IF(B88="","",ROW()-10)</f>
        <v/>
      </c>
      <c r="B88" s="25" t="n"/>
      <c r="C88" s="25" t="n"/>
      <c r="D88" s="17">
        <f>IF(C88="","",IFERROR(INDEX('案件台帳'!$B$6:$B$105,MATCH(C88,'案件台帳'!$A$6:$A$105,0)),""))</f>
        <v/>
      </c>
      <c r="E88" s="25" t="n"/>
      <c r="F88" s="45" t="n"/>
      <c r="G88" s="29" t="n"/>
      <c r="H88" s="45" t="n"/>
      <c r="I88" s="33" t="n"/>
      <c r="J88" s="45" t="n"/>
      <c r="K88" s="25" t="n"/>
      <c r="L88" s="51">
        <f>IF(OR(H88="",I88="支払い済み",B88=""),"",H88-TODAY())</f>
        <v/>
      </c>
    </row>
    <row r="89">
      <c r="A89" s="23">
        <f>IF(B89="","",ROW()-10)</f>
        <v/>
      </c>
      <c r="B89" s="25" t="n"/>
      <c r="C89" s="25" t="n"/>
      <c r="D89" s="17">
        <f>IF(C89="","",IFERROR(INDEX('案件台帳'!$B$6:$B$105,MATCH(C89,'案件台帳'!$A$6:$A$105,0)),""))</f>
        <v/>
      </c>
      <c r="E89" s="25" t="n"/>
      <c r="F89" s="45" t="n"/>
      <c r="G89" s="29" t="n"/>
      <c r="H89" s="45" t="n"/>
      <c r="I89" s="33" t="n"/>
      <c r="J89" s="45" t="n"/>
      <c r="K89" s="25" t="n"/>
      <c r="L89" s="51">
        <f>IF(OR(H89="",I89="支払い済み",B89=""),"",H89-TODAY())</f>
        <v/>
      </c>
    </row>
    <row r="90">
      <c r="A90" s="23">
        <f>IF(B90="","",ROW()-10)</f>
        <v/>
      </c>
      <c r="B90" s="25" t="n"/>
      <c r="C90" s="25" t="n"/>
      <c r="D90" s="17">
        <f>IF(C90="","",IFERROR(INDEX('案件台帳'!$B$6:$B$105,MATCH(C90,'案件台帳'!$A$6:$A$105,0)),""))</f>
        <v/>
      </c>
      <c r="E90" s="25" t="n"/>
      <c r="F90" s="45" t="n"/>
      <c r="G90" s="29" t="n"/>
      <c r="H90" s="45" t="n"/>
      <c r="I90" s="33" t="n"/>
      <c r="J90" s="45" t="n"/>
      <c r="K90" s="25" t="n"/>
      <c r="L90" s="51">
        <f>IF(OR(H90="",I90="支払い済み",B90=""),"",H90-TODAY())</f>
        <v/>
      </c>
    </row>
    <row r="91">
      <c r="A91" s="23">
        <f>IF(B91="","",ROW()-10)</f>
        <v/>
      </c>
      <c r="B91" s="25" t="n"/>
      <c r="C91" s="25" t="n"/>
      <c r="D91" s="17">
        <f>IF(C91="","",IFERROR(INDEX('案件台帳'!$B$6:$B$105,MATCH(C91,'案件台帳'!$A$6:$A$105,0)),""))</f>
        <v/>
      </c>
      <c r="E91" s="25" t="n"/>
      <c r="F91" s="45" t="n"/>
      <c r="G91" s="29" t="n"/>
      <c r="H91" s="45" t="n"/>
      <c r="I91" s="33" t="n"/>
      <c r="J91" s="45" t="n"/>
      <c r="K91" s="25" t="n"/>
      <c r="L91" s="51">
        <f>IF(OR(H91="",I91="支払い済み",B91=""),"",H91-TODAY())</f>
        <v/>
      </c>
    </row>
    <row r="92">
      <c r="A92" s="23">
        <f>IF(B92="","",ROW()-10)</f>
        <v/>
      </c>
      <c r="B92" s="25" t="n"/>
      <c r="C92" s="25" t="n"/>
      <c r="D92" s="17">
        <f>IF(C92="","",IFERROR(INDEX('案件台帳'!$B$6:$B$105,MATCH(C92,'案件台帳'!$A$6:$A$105,0)),""))</f>
        <v/>
      </c>
      <c r="E92" s="25" t="n"/>
      <c r="F92" s="45" t="n"/>
      <c r="G92" s="29" t="n"/>
      <c r="H92" s="45" t="n"/>
      <c r="I92" s="33" t="n"/>
      <c r="J92" s="45" t="n"/>
      <c r="K92" s="25" t="n"/>
      <c r="L92" s="51">
        <f>IF(OR(H92="",I92="支払い済み",B92=""),"",H92-TODAY())</f>
        <v/>
      </c>
    </row>
    <row r="93">
      <c r="A93" s="23">
        <f>IF(B93="","",ROW()-10)</f>
        <v/>
      </c>
      <c r="B93" s="25" t="n"/>
      <c r="C93" s="25" t="n"/>
      <c r="D93" s="17">
        <f>IF(C93="","",IFERROR(INDEX('案件台帳'!$B$6:$B$105,MATCH(C93,'案件台帳'!$A$6:$A$105,0)),""))</f>
        <v/>
      </c>
      <c r="E93" s="25" t="n"/>
      <c r="F93" s="45" t="n"/>
      <c r="G93" s="29" t="n"/>
      <c r="H93" s="45" t="n"/>
      <c r="I93" s="33" t="n"/>
      <c r="J93" s="45" t="n"/>
      <c r="K93" s="25" t="n"/>
      <c r="L93" s="51">
        <f>IF(OR(H93="",I93="支払い済み",B93=""),"",H93-TODAY())</f>
        <v/>
      </c>
    </row>
    <row r="94">
      <c r="A94" s="23">
        <f>IF(B94="","",ROW()-10)</f>
        <v/>
      </c>
      <c r="B94" s="25" t="n"/>
      <c r="C94" s="25" t="n"/>
      <c r="D94" s="17">
        <f>IF(C94="","",IFERROR(INDEX('案件台帳'!$B$6:$B$105,MATCH(C94,'案件台帳'!$A$6:$A$105,0)),""))</f>
        <v/>
      </c>
      <c r="E94" s="25" t="n"/>
      <c r="F94" s="45" t="n"/>
      <c r="G94" s="29" t="n"/>
      <c r="H94" s="45" t="n"/>
      <c r="I94" s="33" t="n"/>
      <c r="J94" s="45" t="n"/>
      <c r="K94" s="25" t="n"/>
      <c r="L94" s="51">
        <f>IF(OR(H94="",I94="支払い済み",B94=""),"",H94-TODAY())</f>
        <v/>
      </c>
    </row>
    <row r="95">
      <c r="A95" s="23">
        <f>IF(B95="","",ROW()-10)</f>
        <v/>
      </c>
      <c r="B95" s="25" t="n"/>
      <c r="C95" s="25" t="n"/>
      <c r="D95" s="17">
        <f>IF(C95="","",IFERROR(INDEX('案件台帳'!$B$6:$B$105,MATCH(C95,'案件台帳'!$A$6:$A$105,0)),""))</f>
        <v/>
      </c>
      <c r="E95" s="25" t="n"/>
      <c r="F95" s="45" t="n"/>
      <c r="G95" s="29" t="n"/>
      <c r="H95" s="45" t="n"/>
      <c r="I95" s="33" t="n"/>
      <c r="J95" s="45" t="n"/>
      <c r="K95" s="25" t="n"/>
      <c r="L95" s="51">
        <f>IF(OR(H95="",I95="支払い済み",B95=""),"",H95-TODAY())</f>
        <v/>
      </c>
    </row>
    <row r="96">
      <c r="A96" s="23">
        <f>IF(B96="","",ROW()-10)</f>
        <v/>
      </c>
      <c r="B96" s="25" t="n"/>
      <c r="C96" s="25" t="n"/>
      <c r="D96" s="17">
        <f>IF(C96="","",IFERROR(INDEX('案件台帳'!$B$6:$B$105,MATCH(C96,'案件台帳'!$A$6:$A$105,0)),""))</f>
        <v/>
      </c>
      <c r="E96" s="25" t="n"/>
      <c r="F96" s="45" t="n"/>
      <c r="G96" s="29" t="n"/>
      <c r="H96" s="45" t="n"/>
      <c r="I96" s="33" t="n"/>
      <c r="J96" s="45" t="n"/>
      <c r="K96" s="25" t="n"/>
      <c r="L96" s="51">
        <f>IF(OR(H96="",I96="支払い済み",B96=""),"",H96-TODAY())</f>
        <v/>
      </c>
    </row>
    <row r="97">
      <c r="A97" s="23">
        <f>IF(B97="","",ROW()-10)</f>
        <v/>
      </c>
      <c r="B97" s="25" t="n"/>
      <c r="C97" s="25" t="n"/>
      <c r="D97" s="17">
        <f>IF(C97="","",IFERROR(INDEX('案件台帳'!$B$6:$B$105,MATCH(C97,'案件台帳'!$A$6:$A$105,0)),""))</f>
        <v/>
      </c>
      <c r="E97" s="25" t="n"/>
      <c r="F97" s="45" t="n"/>
      <c r="G97" s="29" t="n"/>
      <c r="H97" s="45" t="n"/>
      <c r="I97" s="33" t="n"/>
      <c r="J97" s="45" t="n"/>
      <c r="K97" s="25" t="n"/>
      <c r="L97" s="51">
        <f>IF(OR(H97="",I97="支払い済み",B97=""),"",H97-TODAY())</f>
        <v/>
      </c>
    </row>
    <row r="98">
      <c r="A98" s="23">
        <f>IF(B98="","",ROW()-10)</f>
        <v/>
      </c>
      <c r="B98" s="25" t="n"/>
      <c r="C98" s="25" t="n"/>
      <c r="D98" s="17">
        <f>IF(C98="","",IFERROR(INDEX('案件台帳'!$B$6:$B$105,MATCH(C98,'案件台帳'!$A$6:$A$105,0)),""))</f>
        <v/>
      </c>
      <c r="E98" s="25" t="n"/>
      <c r="F98" s="45" t="n"/>
      <c r="G98" s="29" t="n"/>
      <c r="H98" s="45" t="n"/>
      <c r="I98" s="33" t="n"/>
      <c r="J98" s="45" t="n"/>
      <c r="K98" s="25" t="n"/>
      <c r="L98" s="51">
        <f>IF(OR(H98="",I98="支払い済み",B98=""),"",H98-TODAY())</f>
        <v/>
      </c>
    </row>
    <row r="99">
      <c r="A99" s="23">
        <f>IF(B99="","",ROW()-10)</f>
        <v/>
      </c>
      <c r="B99" s="25" t="n"/>
      <c r="C99" s="25" t="n"/>
      <c r="D99" s="17">
        <f>IF(C99="","",IFERROR(INDEX('案件台帳'!$B$6:$B$105,MATCH(C99,'案件台帳'!$A$6:$A$105,0)),""))</f>
        <v/>
      </c>
      <c r="E99" s="25" t="n"/>
      <c r="F99" s="45" t="n"/>
      <c r="G99" s="29" t="n"/>
      <c r="H99" s="45" t="n"/>
      <c r="I99" s="33" t="n"/>
      <c r="J99" s="45" t="n"/>
      <c r="K99" s="25" t="n"/>
      <c r="L99" s="51">
        <f>IF(OR(H99="",I99="支払い済み",B99=""),"",H99-TODAY())</f>
        <v/>
      </c>
    </row>
    <row r="100">
      <c r="A100" s="23">
        <f>IF(B100="","",ROW()-10)</f>
        <v/>
      </c>
      <c r="B100" s="25" t="n"/>
      <c r="C100" s="25" t="n"/>
      <c r="D100" s="17">
        <f>IF(C100="","",IFERROR(INDEX('案件台帳'!$B$6:$B$105,MATCH(C100,'案件台帳'!$A$6:$A$105,0)),""))</f>
        <v/>
      </c>
      <c r="E100" s="25" t="n"/>
      <c r="F100" s="45" t="n"/>
      <c r="G100" s="29" t="n"/>
      <c r="H100" s="45" t="n"/>
      <c r="I100" s="33" t="n"/>
      <c r="J100" s="45" t="n"/>
      <c r="K100" s="25" t="n"/>
      <c r="L100" s="51">
        <f>IF(OR(H100="",I100="支払い済み",B100=""),"",H100-TODAY())</f>
        <v/>
      </c>
    </row>
    <row r="101">
      <c r="A101" s="23">
        <f>IF(B101="","",ROW()-10)</f>
        <v/>
      </c>
      <c r="B101" s="25" t="n"/>
      <c r="C101" s="25" t="n"/>
      <c r="D101" s="17">
        <f>IF(C101="","",IFERROR(INDEX('案件台帳'!$B$6:$B$105,MATCH(C101,'案件台帳'!$A$6:$A$105,0)),""))</f>
        <v/>
      </c>
      <c r="E101" s="25" t="n"/>
      <c r="F101" s="45" t="n"/>
      <c r="G101" s="29" t="n"/>
      <c r="H101" s="45" t="n"/>
      <c r="I101" s="33" t="n"/>
      <c r="J101" s="45" t="n"/>
      <c r="K101" s="25" t="n"/>
      <c r="L101" s="51">
        <f>IF(OR(H101="",I101="支払い済み",B101=""),"",H101-TODAY())</f>
        <v/>
      </c>
    </row>
    <row r="102">
      <c r="A102" s="23">
        <f>IF(B102="","",ROW()-10)</f>
        <v/>
      </c>
      <c r="B102" s="25" t="n"/>
      <c r="C102" s="25" t="n"/>
      <c r="D102" s="17">
        <f>IF(C102="","",IFERROR(INDEX('案件台帳'!$B$6:$B$105,MATCH(C102,'案件台帳'!$A$6:$A$105,0)),""))</f>
        <v/>
      </c>
      <c r="E102" s="25" t="n"/>
      <c r="F102" s="45" t="n"/>
      <c r="G102" s="29" t="n"/>
      <c r="H102" s="45" t="n"/>
      <c r="I102" s="33" t="n"/>
      <c r="J102" s="45" t="n"/>
      <c r="K102" s="25" t="n"/>
      <c r="L102" s="51">
        <f>IF(OR(H102="",I102="支払い済み",B102=""),"",H102-TODAY())</f>
        <v/>
      </c>
    </row>
    <row r="103">
      <c r="A103" s="23">
        <f>IF(B103="","",ROW()-10)</f>
        <v/>
      </c>
      <c r="B103" s="25" t="n"/>
      <c r="C103" s="25" t="n"/>
      <c r="D103" s="17">
        <f>IF(C103="","",IFERROR(INDEX('案件台帳'!$B$6:$B$105,MATCH(C103,'案件台帳'!$A$6:$A$105,0)),""))</f>
        <v/>
      </c>
      <c r="E103" s="25" t="n"/>
      <c r="F103" s="45" t="n"/>
      <c r="G103" s="29" t="n"/>
      <c r="H103" s="45" t="n"/>
      <c r="I103" s="33" t="n"/>
      <c r="J103" s="45" t="n"/>
      <c r="K103" s="25" t="n"/>
      <c r="L103" s="51">
        <f>IF(OR(H103="",I103="支払い済み",B103=""),"",H103-TODAY())</f>
        <v/>
      </c>
    </row>
    <row r="104">
      <c r="A104" s="23">
        <f>IF(B104="","",ROW()-10)</f>
        <v/>
      </c>
      <c r="B104" s="25" t="n"/>
      <c r="C104" s="25" t="n"/>
      <c r="D104" s="17">
        <f>IF(C104="","",IFERROR(INDEX('案件台帳'!$B$6:$B$105,MATCH(C104,'案件台帳'!$A$6:$A$105,0)),""))</f>
        <v/>
      </c>
      <c r="E104" s="25" t="n"/>
      <c r="F104" s="45" t="n"/>
      <c r="G104" s="29" t="n"/>
      <c r="H104" s="45" t="n"/>
      <c r="I104" s="33" t="n"/>
      <c r="J104" s="45" t="n"/>
      <c r="K104" s="25" t="n"/>
      <c r="L104" s="51">
        <f>IF(OR(H104="",I104="支払い済み",B104=""),"",H104-TODAY())</f>
        <v/>
      </c>
    </row>
    <row r="105">
      <c r="A105" s="23">
        <f>IF(B105="","",ROW()-10)</f>
        <v/>
      </c>
      <c r="B105" s="25" t="n"/>
      <c r="C105" s="25" t="n"/>
      <c r="D105" s="17">
        <f>IF(C105="","",IFERROR(INDEX('案件台帳'!$B$6:$B$105,MATCH(C105,'案件台帳'!$A$6:$A$105,0)),""))</f>
        <v/>
      </c>
      <c r="E105" s="25" t="n"/>
      <c r="F105" s="45" t="n"/>
      <c r="G105" s="29" t="n"/>
      <c r="H105" s="45" t="n"/>
      <c r="I105" s="33" t="n"/>
      <c r="J105" s="45" t="n"/>
      <c r="K105" s="25" t="n"/>
      <c r="L105" s="51">
        <f>IF(OR(H105="",I105="支払い済み",B105=""),"",H105-TODAY())</f>
        <v/>
      </c>
    </row>
    <row r="106">
      <c r="A106" s="23">
        <f>IF(B106="","",ROW()-10)</f>
        <v/>
      </c>
      <c r="B106" s="25" t="n"/>
      <c r="C106" s="25" t="n"/>
      <c r="D106" s="17">
        <f>IF(C106="","",IFERROR(INDEX('案件台帳'!$B$6:$B$105,MATCH(C106,'案件台帳'!$A$6:$A$105,0)),""))</f>
        <v/>
      </c>
      <c r="E106" s="25" t="n"/>
      <c r="F106" s="45" t="n"/>
      <c r="G106" s="29" t="n"/>
      <c r="H106" s="45" t="n"/>
      <c r="I106" s="33" t="n"/>
      <c r="J106" s="45" t="n"/>
      <c r="K106" s="25" t="n"/>
      <c r="L106" s="51">
        <f>IF(OR(H106="",I106="支払い済み",B106=""),"",H106-TODAY())</f>
        <v/>
      </c>
    </row>
    <row r="107">
      <c r="A107" s="23">
        <f>IF(B107="","",ROW()-10)</f>
        <v/>
      </c>
      <c r="B107" s="25" t="n"/>
      <c r="C107" s="25" t="n"/>
      <c r="D107" s="17">
        <f>IF(C107="","",IFERROR(INDEX('案件台帳'!$B$6:$B$105,MATCH(C107,'案件台帳'!$A$6:$A$105,0)),""))</f>
        <v/>
      </c>
      <c r="E107" s="25" t="n"/>
      <c r="F107" s="45" t="n"/>
      <c r="G107" s="29" t="n"/>
      <c r="H107" s="45" t="n"/>
      <c r="I107" s="33" t="n"/>
      <c r="J107" s="45" t="n"/>
      <c r="K107" s="25" t="n"/>
      <c r="L107" s="51">
        <f>IF(OR(H107="",I107="支払い済み",B107=""),"",H107-TODAY())</f>
        <v/>
      </c>
    </row>
    <row r="108">
      <c r="A108" s="23">
        <f>IF(B108="","",ROW()-10)</f>
        <v/>
      </c>
      <c r="B108" s="25" t="n"/>
      <c r="C108" s="25" t="n"/>
      <c r="D108" s="17">
        <f>IF(C108="","",IFERROR(INDEX('案件台帳'!$B$6:$B$105,MATCH(C108,'案件台帳'!$A$6:$A$105,0)),""))</f>
        <v/>
      </c>
      <c r="E108" s="25" t="n"/>
      <c r="F108" s="45" t="n"/>
      <c r="G108" s="29" t="n"/>
      <c r="H108" s="45" t="n"/>
      <c r="I108" s="33" t="n"/>
      <c r="J108" s="45" t="n"/>
      <c r="K108" s="25" t="n"/>
      <c r="L108" s="51">
        <f>IF(OR(H108="",I108="支払い済み",B108=""),"",H108-TODAY())</f>
        <v/>
      </c>
    </row>
    <row r="109">
      <c r="A109" s="23">
        <f>IF(B109="","",ROW()-10)</f>
        <v/>
      </c>
      <c r="B109" s="25" t="n"/>
      <c r="C109" s="25" t="n"/>
      <c r="D109" s="17">
        <f>IF(C109="","",IFERROR(INDEX('案件台帳'!$B$6:$B$105,MATCH(C109,'案件台帳'!$A$6:$A$105,0)),""))</f>
        <v/>
      </c>
      <c r="E109" s="25" t="n"/>
      <c r="F109" s="45" t="n"/>
      <c r="G109" s="29" t="n"/>
      <c r="H109" s="45" t="n"/>
      <c r="I109" s="33" t="n"/>
      <c r="J109" s="45" t="n"/>
      <c r="K109" s="25" t="n"/>
      <c r="L109" s="51">
        <f>IF(OR(H109="",I109="支払い済み",B109=""),"",H109-TODAY())</f>
        <v/>
      </c>
    </row>
    <row r="110">
      <c r="A110" s="23">
        <f>IF(B110="","",ROW()-10)</f>
        <v/>
      </c>
      <c r="B110" s="25" t="n"/>
      <c r="C110" s="25" t="n"/>
      <c r="D110" s="17">
        <f>IF(C110="","",IFERROR(INDEX('案件台帳'!$B$6:$B$105,MATCH(C110,'案件台帳'!$A$6:$A$105,0)),""))</f>
        <v/>
      </c>
      <c r="E110" s="25" t="n"/>
      <c r="F110" s="45" t="n"/>
      <c r="G110" s="29" t="n"/>
      <c r="H110" s="45" t="n"/>
      <c r="I110" s="33" t="n"/>
      <c r="J110" s="45" t="n"/>
      <c r="K110" s="25" t="n"/>
      <c r="L110" s="51">
        <f>IF(OR(H110="",I110="支払い済み",B110=""),"",H110-TODAY())</f>
        <v/>
      </c>
    </row>
    <row r="111">
      <c r="A111" s="23">
        <f>IF(B111="","",ROW()-10)</f>
        <v/>
      </c>
      <c r="B111" s="25" t="n"/>
      <c r="C111" s="25" t="n"/>
      <c r="D111" s="17">
        <f>IF(C111="","",IFERROR(INDEX('案件台帳'!$B$6:$B$105,MATCH(C111,'案件台帳'!$A$6:$A$105,0)),""))</f>
        <v/>
      </c>
      <c r="E111" s="25" t="n"/>
      <c r="F111" s="45" t="n"/>
      <c r="G111" s="29" t="n"/>
      <c r="H111" s="45" t="n"/>
      <c r="I111" s="33" t="n"/>
      <c r="J111" s="45" t="n"/>
      <c r="K111" s="25" t="n"/>
      <c r="L111" s="51">
        <f>IF(OR(H111="",I111="支払い済み",B111=""),"",H111-TODAY())</f>
        <v/>
      </c>
    </row>
    <row r="112">
      <c r="A112" s="23">
        <f>IF(B112="","",ROW()-10)</f>
        <v/>
      </c>
      <c r="B112" s="25" t="n"/>
      <c r="C112" s="25" t="n"/>
      <c r="D112" s="17">
        <f>IF(C112="","",IFERROR(INDEX('案件台帳'!$B$6:$B$105,MATCH(C112,'案件台帳'!$A$6:$A$105,0)),""))</f>
        <v/>
      </c>
      <c r="E112" s="25" t="n"/>
      <c r="F112" s="45" t="n"/>
      <c r="G112" s="29" t="n"/>
      <c r="H112" s="45" t="n"/>
      <c r="I112" s="33" t="n"/>
      <c r="J112" s="45" t="n"/>
      <c r="K112" s="25" t="n"/>
      <c r="L112" s="51">
        <f>IF(OR(H112="",I112="支払い済み",B112=""),"",H112-TODAY())</f>
        <v/>
      </c>
    </row>
    <row r="113">
      <c r="A113" s="23">
        <f>IF(B113="","",ROW()-10)</f>
        <v/>
      </c>
      <c r="B113" s="25" t="n"/>
      <c r="C113" s="25" t="n"/>
      <c r="D113" s="17">
        <f>IF(C113="","",IFERROR(INDEX('案件台帳'!$B$6:$B$105,MATCH(C113,'案件台帳'!$A$6:$A$105,0)),""))</f>
        <v/>
      </c>
      <c r="E113" s="25" t="n"/>
      <c r="F113" s="45" t="n"/>
      <c r="G113" s="29" t="n"/>
      <c r="H113" s="45" t="n"/>
      <c r="I113" s="33" t="n"/>
      <c r="J113" s="45" t="n"/>
      <c r="K113" s="25" t="n"/>
      <c r="L113" s="51">
        <f>IF(OR(H113="",I113="支払い済み",B113=""),"",H113-TODAY())</f>
        <v/>
      </c>
    </row>
    <row r="114">
      <c r="A114" s="23">
        <f>IF(B114="","",ROW()-10)</f>
        <v/>
      </c>
      <c r="B114" s="25" t="n"/>
      <c r="C114" s="25" t="n"/>
      <c r="D114" s="17">
        <f>IF(C114="","",IFERROR(INDEX('案件台帳'!$B$6:$B$105,MATCH(C114,'案件台帳'!$A$6:$A$105,0)),""))</f>
        <v/>
      </c>
      <c r="E114" s="25" t="n"/>
      <c r="F114" s="45" t="n"/>
      <c r="G114" s="29" t="n"/>
      <c r="H114" s="45" t="n"/>
      <c r="I114" s="33" t="n"/>
      <c r="J114" s="45" t="n"/>
      <c r="K114" s="25" t="n"/>
      <c r="L114" s="51">
        <f>IF(OR(H114="",I114="支払い済み",B114=""),"",H114-TODAY())</f>
        <v/>
      </c>
    </row>
    <row r="115">
      <c r="A115" s="23">
        <f>IF(B115="","",ROW()-10)</f>
        <v/>
      </c>
      <c r="B115" s="25" t="n"/>
      <c r="C115" s="25" t="n"/>
      <c r="D115" s="17">
        <f>IF(C115="","",IFERROR(INDEX('案件台帳'!$B$6:$B$105,MATCH(C115,'案件台帳'!$A$6:$A$105,0)),""))</f>
        <v/>
      </c>
      <c r="E115" s="25" t="n"/>
      <c r="F115" s="45" t="n"/>
      <c r="G115" s="29" t="n"/>
      <c r="H115" s="45" t="n"/>
      <c r="I115" s="33" t="n"/>
      <c r="J115" s="45" t="n"/>
      <c r="K115" s="25" t="n"/>
      <c r="L115" s="51">
        <f>IF(OR(H115="",I115="支払い済み",B115=""),"",H115-TODAY())</f>
        <v/>
      </c>
    </row>
    <row r="116">
      <c r="A116" s="23">
        <f>IF(B116="","",ROW()-10)</f>
        <v/>
      </c>
      <c r="B116" s="25" t="n"/>
      <c r="C116" s="25" t="n"/>
      <c r="D116" s="17">
        <f>IF(C116="","",IFERROR(INDEX('案件台帳'!$B$6:$B$105,MATCH(C116,'案件台帳'!$A$6:$A$105,0)),""))</f>
        <v/>
      </c>
      <c r="E116" s="25" t="n"/>
      <c r="F116" s="45" t="n"/>
      <c r="G116" s="29" t="n"/>
      <c r="H116" s="45" t="n"/>
      <c r="I116" s="33" t="n"/>
      <c r="J116" s="45" t="n"/>
      <c r="K116" s="25" t="n"/>
      <c r="L116" s="51">
        <f>IF(OR(H116="",I116="支払い済み",B116=""),"",H116-TODAY())</f>
        <v/>
      </c>
    </row>
    <row r="117">
      <c r="A117" s="23">
        <f>IF(B117="","",ROW()-10)</f>
        <v/>
      </c>
      <c r="B117" s="25" t="n"/>
      <c r="C117" s="25" t="n"/>
      <c r="D117" s="17">
        <f>IF(C117="","",IFERROR(INDEX('案件台帳'!$B$6:$B$105,MATCH(C117,'案件台帳'!$A$6:$A$105,0)),""))</f>
        <v/>
      </c>
      <c r="E117" s="25" t="n"/>
      <c r="F117" s="45" t="n"/>
      <c r="G117" s="29" t="n"/>
      <c r="H117" s="45" t="n"/>
      <c r="I117" s="33" t="n"/>
      <c r="J117" s="45" t="n"/>
      <c r="K117" s="25" t="n"/>
      <c r="L117" s="51">
        <f>IF(OR(H117="",I117="支払い済み",B117=""),"",H117-TODAY())</f>
        <v/>
      </c>
    </row>
    <row r="118">
      <c r="A118" s="23">
        <f>IF(B118="","",ROW()-10)</f>
        <v/>
      </c>
      <c r="B118" s="25" t="n"/>
      <c r="C118" s="25" t="n"/>
      <c r="D118" s="17">
        <f>IF(C118="","",IFERROR(INDEX('案件台帳'!$B$6:$B$105,MATCH(C118,'案件台帳'!$A$6:$A$105,0)),""))</f>
        <v/>
      </c>
      <c r="E118" s="25" t="n"/>
      <c r="F118" s="45" t="n"/>
      <c r="G118" s="29" t="n"/>
      <c r="H118" s="45" t="n"/>
      <c r="I118" s="33" t="n"/>
      <c r="J118" s="45" t="n"/>
      <c r="K118" s="25" t="n"/>
      <c r="L118" s="51">
        <f>IF(OR(H118="",I118="支払い済み",B118=""),"",H118-TODAY())</f>
        <v/>
      </c>
    </row>
    <row r="119">
      <c r="A119" s="23">
        <f>IF(B119="","",ROW()-10)</f>
        <v/>
      </c>
      <c r="B119" s="25" t="n"/>
      <c r="C119" s="25" t="n"/>
      <c r="D119" s="17">
        <f>IF(C119="","",IFERROR(INDEX('案件台帳'!$B$6:$B$105,MATCH(C119,'案件台帳'!$A$6:$A$105,0)),""))</f>
        <v/>
      </c>
      <c r="E119" s="25" t="n"/>
      <c r="F119" s="45" t="n"/>
      <c r="G119" s="29" t="n"/>
      <c r="H119" s="45" t="n"/>
      <c r="I119" s="33" t="n"/>
      <c r="J119" s="45" t="n"/>
      <c r="K119" s="25" t="n"/>
      <c r="L119" s="51">
        <f>IF(OR(H119="",I119="支払い済み",B119=""),"",H119-TODAY())</f>
        <v/>
      </c>
    </row>
    <row r="120">
      <c r="A120" s="23">
        <f>IF(B120="","",ROW()-10)</f>
        <v/>
      </c>
      <c r="B120" s="25" t="n"/>
      <c r="C120" s="25" t="n"/>
      <c r="D120" s="17">
        <f>IF(C120="","",IFERROR(INDEX('案件台帳'!$B$6:$B$105,MATCH(C120,'案件台帳'!$A$6:$A$105,0)),""))</f>
        <v/>
      </c>
      <c r="E120" s="25" t="n"/>
      <c r="F120" s="45" t="n"/>
      <c r="G120" s="29" t="n"/>
      <c r="H120" s="45" t="n"/>
      <c r="I120" s="33" t="n"/>
      <c r="J120" s="45" t="n"/>
      <c r="K120" s="25" t="n"/>
      <c r="L120" s="51">
        <f>IF(OR(H120="",I120="支払い済み",B120=""),"",H120-TODAY())</f>
        <v/>
      </c>
    </row>
    <row r="121">
      <c r="A121" s="23">
        <f>IF(B121="","",ROW()-10)</f>
        <v/>
      </c>
      <c r="B121" s="25" t="n"/>
      <c r="C121" s="25" t="n"/>
      <c r="D121" s="17">
        <f>IF(C121="","",IFERROR(INDEX('案件台帳'!$B$6:$B$105,MATCH(C121,'案件台帳'!$A$6:$A$105,0)),""))</f>
        <v/>
      </c>
      <c r="E121" s="25" t="n"/>
      <c r="F121" s="45" t="n"/>
      <c r="G121" s="29" t="n"/>
      <c r="H121" s="45" t="n"/>
      <c r="I121" s="33" t="n"/>
      <c r="J121" s="45" t="n"/>
      <c r="K121" s="25" t="n"/>
      <c r="L121" s="51">
        <f>IF(OR(H121="",I121="支払い済み",B121=""),"",H121-TODAY())</f>
        <v/>
      </c>
    </row>
    <row r="122">
      <c r="A122" s="23">
        <f>IF(B122="","",ROW()-10)</f>
        <v/>
      </c>
      <c r="B122" s="25" t="n"/>
      <c r="C122" s="25" t="n"/>
      <c r="D122" s="17">
        <f>IF(C122="","",IFERROR(INDEX('案件台帳'!$B$6:$B$105,MATCH(C122,'案件台帳'!$A$6:$A$105,0)),""))</f>
        <v/>
      </c>
      <c r="E122" s="25" t="n"/>
      <c r="F122" s="45" t="n"/>
      <c r="G122" s="29" t="n"/>
      <c r="H122" s="45" t="n"/>
      <c r="I122" s="33" t="n"/>
      <c r="J122" s="45" t="n"/>
      <c r="K122" s="25" t="n"/>
      <c r="L122" s="51">
        <f>IF(OR(H122="",I122="支払い済み",B122=""),"",H122-TODAY())</f>
        <v/>
      </c>
    </row>
    <row r="123">
      <c r="A123" s="23">
        <f>IF(B123="","",ROW()-10)</f>
        <v/>
      </c>
      <c r="B123" s="25" t="n"/>
      <c r="C123" s="25" t="n"/>
      <c r="D123" s="17">
        <f>IF(C123="","",IFERROR(INDEX('案件台帳'!$B$6:$B$105,MATCH(C123,'案件台帳'!$A$6:$A$105,0)),""))</f>
        <v/>
      </c>
      <c r="E123" s="25" t="n"/>
      <c r="F123" s="45" t="n"/>
      <c r="G123" s="29" t="n"/>
      <c r="H123" s="45" t="n"/>
      <c r="I123" s="33" t="n"/>
      <c r="J123" s="45" t="n"/>
      <c r="K123" s="25" t="n"/>
      <c r="L123" s="51">
        <f>IF(OR(H123="",I123="支払い済み",B123=""),"",H123-TODAY())</f>
        <v/>
      </c>
    </row>
    <row r="124">
      <c r="A124" s="23">
        <f>IF(B124="","",ROW()-10)</f>
        <v/>
      </c>
      <c r="B124" s="25" t="n"/>
      <c r="C124" s="25" t="n"/>
      <c r="D124" s="17">
        <f>IF(C124="","",IFERROR(INDEX('案件台帳'!$B$6:$B$105,MATCH(C124,'案件台帳'!$A$6:$A$105,0)),""))</f>
        <v/>
      </c>
      <c r="E124" s="25" t="n"/>
      <c r="F124" s="45" t="n"/>
      <c r="G124" s="29" t="n"/>
      <c r="H124" s="45" t="n"/>
      <c r="I124" s="33" t="n"/>
      <c r="J124" s="45" t="n"/>
      <c r="K124" s="25" t="n"/>
      <c r="L124" s="51">
        <f>IF(OR(H124="",I124="支払い済み",B124=""),"",H124-TODAY())</f>
        <v/>
      </c>
    </row>
    <row r="125">
      <c r="A125" s="23">
        <f>IF(B125="","",ROW()-10)</f>
        <v/>
      </c>
      <c r="B125" s="25" t="n"/>
      <c r="C125" s="25" t="n"/>
      <c r="D125" s="17">
        <f>IF(C125="","",IFERROR(INDEX('案件台帳'!$B$6:$B$105,MATCH(C125,'案件台帳'!$A$6:$A$105,0)),""))</f>
        <v/>
      </c>
      <c r="E125" s="25" t="n"/>
      <c r="F125" s="45" t="n"/>
      <c r="G125" s="29" t="n"/>
      <c r="H125" s="45" t="n"/>
      <c r="I125" s="33" t="n"/>
      <c r="J125" s="45" t="n"/>
      <c r="K125" s="25" t="n"/>
      <c r="L125" s="51">
        <f>IF(OR(H125="",I125="支払い済み",B125=""),"",H125-TODAY())</f>
        <v/>
      </c>
    </row>
    <row r="126">
      <c r="A126" s="23">
        <f>IF(B126="","",ROW()-10)</f>
        <v/>
      </c>
      <c r="B126" s="25" t="n"/>
      <c r="C126" s="25" t="n"/>
      <c r="D126" s="17">
        <f>IF(C126="","",IFERROR(INDEX('案件台帳'!$B$6:$B$105,MATCH(C126,'案件台帳'!$A$6:$A$105,0)),""))</f>
        <v/>
      </c>
      <c r="E126" s="25" t="n"/>
      <c r="F126" s="45" t="n"/>
      <c r="G126" s="29" t="n"/>
      <c r="H126" s="45" t="n"/>
      <c r="I126" s="33" t="n"/>
      <c r="J126" s="45" t="n"/>
      <c r="K126" s="25" t="n"/>
      <c r="L126" s="51">
        <f>IF(OR(H126="",I126="支払い済み",B126=""),"",H126-TODAY())</f>
        <v/>
      </c>
    </row>
    <row r="127">
      <c r="A127" s="23">
        <f>IF(B127="","",ROW()-10)</f>
        <v/>
      </c>
      <c r="B127" s="25" t="n"/>
      <c r="C127" s="25" t="n"/>
      <c r="D127" s="17">
        <f>IF(C127="","",IFERROR(INDEX('案件台帳'!$B$6:$B$105,MATCH(C127,'案件台帳'!$A$6:$A$105,0)),""))</f>
        <v/>
      </c>
      <c r="E127" s="25" t="n"/>
      <c r="F127" s="45" t="n"/>
      <c r="G127" s="29" t="n"/>
      <c r="H127" s="45" t="n"/>
      <c r="I127" s="33" t="n"/>
      <c r="J127" s="45" t="n"/>
      <c r="K127" s="25" t="n"/>
      <c r="L127" s="51">
        <f>IF(OR(H127="",I127="支払い済み",B127=""),"",H127-TODAY())</f>
        <v/>
      </c>
    </row>
    <row r="128">
      <c r="A128" s="23">
        <f>IF(B128="","",ROW()-10)</f>
        <v/>
      </c>
      <c r="B128" s="25" t="n"/>
      <c r="C128" s="25" t="n"/>
      <c r="D128" s="17">
        <f>IF(C128="","",IFERROR(INDEX('案件台帳'!$B$6:$B$105,MATCH(C128,'案件台帳'!$A$6:$A$105,0)),""))</f>
        <v/>
      </c>
      <c r="E128" s="25" t="n"/>
      <c r="F128" s="45" t="n"/>
      <c r="G128" s="29" t="n"/>
      <c r="H128" s="45" t="n"/>
      <c r="I128" s="33" t="n"/>
      <c r="J128" s="45" t="n"/>
      <c r="K128" s="25" t="n"/>
      <c r="L128" s="51">
        <f>IF(OR(H128="",I128="支払い済み",B128=""),"",H128-TODAY())</f>
        <v/>
      </c>
    </row>
    <row r="129">
      <c r="A129" s="23">
        <f>IF(B129="","",ROW()-10)</f>
        <v/>
      </c>
      <c r="B129" s="25" t="n"/>
      <c r="C129" s="25" t="n"/>
      <c r="D129" s="17">
        <f>IF(C129="","",IFERROR(INDEX('案件台帳'!$B$6:$B$105,MATCH(C129,'案件台帳'!$A$6:$A$105,0)),""))</f>
        <v/>
      </c>
      <c r="E129" s="25" t="n"/>
      <c r="F129" s="45" t="n"/>
      <c r="G129" s="29" t="n"/>
      <c r="H129" s="45" t="n"/>
      <c r="I129" s="33" t="n"/>
      <c r="J129" s="45" t="n"/>
      <c r="K129" s="25" t="n"/>
      <c r="L129" s="51">
        <f>IF(OR(H129="",I129="支払い済み",B129=""),"",H129-TODAY())</f>
        <v/>
      </c>
    </row>
    <row r="130">
      <c r="A130" s="23">
        <f>IF(B130="","",ROW()-10)</f>
        <v/>
      </c>
      <c r="B130" s="25" t="n"/>
      <c r="C130" s="25" t="n"/>
      <c r="D130" s="17">
        <f>IF(C130="","",IFERROR(INDEX('案件台帳'!$B$6:$B$105,MATCH(C130,'案件台帳'!$A$6:$A$105,0)),""))</f>
        <v/>
      </c>
      <c r="E130" s="25" t="n"/>
      <c r="F130" s="45" t="n"/>
      <c r="G130" s="29" t="n"/>
      <c r="H130" s="45" t="n"/>
      <c r="I130" s="33" t="n"/>
      <c r="J130" s="45" t="n"/>
      <c r="K130" s="25" t="n"/>
      <c r="L130" s="51">
        <f>IF(OR(H130="",I130="支払い済み",B130=""),"",H130-TODAY())</f>
        <v/>
      </c>
    </row>
    <row r="131">
      <c r="A131" s="23">
        <f>IF(B131="","",ROW()-10)</f>
        <v/>
      </c>
      <c r="B131" s="25" t="n"/>
      <c r="C131" s="25" t="n"/>
      <c r="D131" s="17">
        <f>IF(C131="","",IFERROR(INDEX('案件台帳'!$B$6:$B$105,MATCH(C131,'案件台帳'!$A$6:$A$105,0)),""))</f>
        <v/>
      </c>
      <c r="E131" s="25" t="n"/>
      <c r="F131" s="45" t="n"/>
      <c r="G131" s="29" t="n"/>
      <c r="H131" s="45" t="n"/>
      <c r="I131" s="33" t="n"/>
      <c r="J131" s="45" t="n"/>
      <c r="K131" s="25" t="n"/>
      <c r="L131" s="51">
        <f>IF(OR(H131="",I131="支払い済み",B131=""),"",H131-TODAY())</f>
        <v/>
      </c>
    </row>
    <row r="132">
      <c r="A132" s="23">
        <f>IF(B132="","",ROW()-10)</f>
        <v/>
      </c>
      <c r="B132" s="25" t="n"/>
      <c r="C132" s="25" t="n"/>
      <c r="D132" s="17">
        <f>IF(C132="","",IFERROR(INDEX('案件台帳'!$B$6:$B$105,MATCH(C132,'案件台帳'!$A$6:$A$105,0)),""))</f>
        <v/>
      </c>
      <c r="E132" s="25" t="n"/>
      <c r="F132" s="45" t="n"/>
      <c r="G132" s="29" t="n"/>
      <c r="H132" s="45" t="n"/>
      <c r="I132" s="33" t="n"/>
      <c r="J132" s="45" t="n"/>
      <c r="K132" s="25" t="n"/>
      <c r="L132" s="51">
        <f>IF(OR(H132="",I132="支払い済み",B132=""),"",H132-TODAY())</f>
        <v/>
      </c>
    </row>
    <row r="133">
      <c r="A133" s="23">
        <f>IF(B133="","",ROW()-10)</f>
        <v/>
      </c>
      <c r="B133" s="25" t="n"/>
      <c r="C133" s="25" t="n"/>
      <c r="D133" s="17">
        <f>IF(C133="","",IFERROR(INDEX('案件台帳'!$B$6:$B$105,MATCH(C133,'案件台帳'!$A$6:$A$105,0)),""))</f>
        <v/>
      </c>
      <c r="E133" s="25" t="n"/>
      <c r="F133" s="45" t="n"/>
      <c r="G133" s="29" t="n"/>
      <c r="H133" s="45" t="n"/>
      <c r="I133" s="33" t="n"/>
      <c r="J133" s="45" t="n"/>
      <c r="K133" s="25" t="n"/>
      <c r="L133" s="51">
        <f>IF(OR(H133="",I133="支払い済み",B133=""),"",H133-TODAY())</f>
        <v/>
      </c>
    </row>
    <row r="134">
      <c r="A134" s="23">
        <f>IF(B134="","",ROW()-10)</f>
        <v/>
      </c>
      <c r="B134" s="25" t="n"/>
      <c r="C134" s="25" t="n"/>
      <c r="D134" s="17">
        <f>IF(C134="","",IFERROR(INDEX('案件台帳'!$B$6:$B$105,MATCH(C134,'案件台帳'!$A$6:$A$105,0)),""))</f>
        <v/>
      </c>
      <c r="E134" s="25" t="n"/>
      <c r="F134" s="45" t="n"/>
      <c r="G134" s="29" t="n"/>
      <c r="H134" s="45" t="n"/>
      <c r="I134" s="33" t="n"/>
      <c r="J134" s="45" t="n"/>
      <c r="K134" s="25" t="n"/>
      <c r="L134" s="51">
        <f>IF(OR(H134="",I134="支払い済み",B134=""),"",H134-TODAY())</f>
        <v/>
      </c>
    </row>
    <row r="135">
      <c r="A135" s="23">
        <f>IF(B135="","",ROW()-10)</f>
        <v/>
      </c>
      <c r="B135" s="25" t="n"/>
      <c r="C135" s="25" t="n"/>
      <c r="D135" s="17">
        <f>IF(C135="","",IFERROR(INDEX('案件台帳'!$B$6:$B$105,MATCH(C135,'案件台帳'!$A$6:$A$105,0)),""))</f>
        <v/>
      </c>
      <c r="E135" s="25" t="n"/>
      <c r="F135" s="45" t="n"/>
      <c r="G135" s="29" t="n"/>
      <c r="H135" s="45" t="n"/>
      <c r="I135" s="33" t="n"/>
      <c r="J135" s="45" t="n"/>
      <c r="K135" s="25" t="n"/>
      <c r="L135" s="51">
        <f>IF(OR(H135="",I135="支払い済み",B135=""),"",H135-TODAY())</f>
        <v/>
      </c>
    </row>
    <row r="136">
      <c r="A136" s="23">
        <f>IF(B136="","",ROW()-10)</f>
        <v/>
      </c>
      <c r="B136" s="25" t="n"/>
      <c r="C136" s="25" t="n"/>
      <c r="D136" s="17">
        <f>IF(C136="","",IFERROR(INDEX('案件台帳'!$B$6:$B$105,MATCH(C136,'案件台帳'!$A$6:$A$105,0)),""))</f>
        <v/>
      </c>
      <c r="E136" s="25" t="n"/>
      <c r="F136" s="45" t="n"/>
      <c r="G136" s="29" t="n"/>
      <c r="H136" s="45" t="n"/>
      <c r="I136" s="33" t="n"/>
      <c r="J136" s="45" t="n"/>
      <c r="K136" s="25" t="n"/>
      <c r="L136" s="51">
        <f>IF(OR(H136="",I136="支払い済み",B136=""),"",H136-TODAY())</f>
        <v/>
      </c>
    </row>
    <row r="137">
      <c r="A137" s="23">
        <f>IF(B137="","",ROW()-10)</f>
        <v/>
      </c>
      <c r="B137" s="25" t="n"/>
      <c r="C137" s="25" t="n"/>
      <c r="D137" s="17">
        <f>IF(C137="","",IFERROR(INDEX('案件台帳'!$B$6:$B$105,MATCH(C137,'案件台帳'!$A$6:$A$105,0)),""))</f>
        <v/>
      </c>
      <c r="E137" s="25" t="n"/>
      <c r="F137" s="45" t="n"/>
      <c r="G137" s="29" t="n"/>
      <c r="H137" s="45" t="n"/>
      <c r="I137" s="33" t="n"/>
      <c r="J137" s="45" t="n"/>
      <c r="K137" s="25" t="n"/>
      <c r="L137" s="51">
        <f>IF(OR(H137="",I137="支払い済み",B137=""),"",H137-TODAY())</f>
        <v/>
      </c>
    </row>
    <row r="138">
      <c r="A138" s="23">
        <f>IF(B138="","",ROW()-10)</f>
        <v/>
      </c>
      <c r="B138" s="25" t="n"/>
      <c r="C138" s="25" t="n"/>
      <c r="D138" s="17">
        <f>IF(C138="","",IFERROR(INDEX('案件台帳'!$B$6:$B$105,MATCH(C138,'案件台帳'!$A$6:$A$105,0)),""))</f>
        <v/>
      </c>
      <c r="E138" s="25" t="n"/>
      <c r="F138" s="45" t="n"/>
      <c r="G138" s="29" t="n"/>
      <c r="H138" s="45" t="n"/>
      <c r="I138" s="33" t="n"/>
      <c r="J138" s="45" t="n"/>
      <c r="K138" s="25" t="n"/>
      <c r="L138" s="51">
        <f>IF(OR(H138="",I138="支払い済み",B138=""),"",H138-TODAY())</f>
        <v/>
      </c>
    </row>
    <row r="139">
      <c r="A139" s="23">
        <f>IF(B139="","",ROW()-10)</f>
        <v/>
      </c>
      <c r="B139" s="25" t="n"/>
      <c r="C139" s="25" t="n"/>
      <c r="D139" s="17">
        <f>IF(C139="","",IFERROR(INDEX('案件台帳'!$B$6:$B$105,MATCH(C139,'案件台帳'!$A$6:$A$105,0)),""))</f>
        <v/>
      </c>
      <c r="E139" s="25" t="n"/>
      <c r="F139" s="45" t="n"/>
      <c r="G139" s="29" t="n"/>
      <c r="H139" s="45" t="n"/>
      <c r="I139" s="33" t="n"/>
      <c r="J139" s="45" t="n"/>
      <c r="K139" s="25" t="n"/>
      <c r="L139" s="51">
        <f>IF(OR(H139="",I139="支払い済み",B139=""),"",H139-TODAY())</f>
        <v/>
      </c>
    </row>
    <row r="140">
      <c r="A140" s="23">
        <f>IF(B140="","",ROW()-10)</f>
        <v/>
      </c>
      <c r="B140" s="25" t="n"/>
      <c r="C140" s="25" t="n"/>
      <c r="D140" s="17">
        <f>IF(C140="","",IFERROR(INDEX('案件台帳'!$B$6:$B$105,MATCH(C140,'案件台帳'!$A$6:$A$105,0)),""))</f>
        <v/>
      </c>
      <c r="E140" s="25" t="n"/>
      <c r="F140" s="45" t="n"/>
      <c r="G140" s="29" t="n"/>
      <c r="H140" s="45" t="n"/>
      <c r="I140" s="33" t="n"/>
      <c r="J140" s="45" t="n"/>
      <c r="K140" s="25" t="n"/>
      <c r="L140" s="51">
        <f>IF(OR(H140="",I140="支払い済み",B140=""),"",H140-TODAY())</f>
        <v/>
      </c>
    </row>
    <row r="141">
      <c r="A141" s="23">
        <f>IF(B141="","",ROW()-10)</f>
        <v/>
      </c>
      <c r="B141" s="25" t="n"/>
      <c r="C141" s="25" t="n"/>
      <c r="D141" s="17">
        <f>IF(C141="","",IFERROR(INDEX('案件台帳'!$B$6:$B$105,MATCH(C141,'案件台帳'!$A$6:$A$105,0)),""))</f>
        <v/>
      </c>
      <c r="E141" s="25" t="n"/>
      <c r="F141" s="45" t="n"/>
      <c r="G141" s="29" t="n"/>
      <c r="H141" s="45" t="n"/>
      <c r="I141" s="33" t="n"/>
      <c r="J141" s="45" t="n"/>
      <c r="K141" s="25" t="n"/>
      <c r="L141" s="51">
        <f>IF(OR(H141="",I141="支払い済み",B141=""),"",H141-TODAY())</f>
        <v/>
      </c>
    </row>
    <row r="142">
      <c r="A142" s="23">
        <f>IF(B142="","",ROW()-10)</f>
        <v/>
      </c>
      <c r="B142" s="25" t="n"/>
      <c r="C142" s="25" t="n"/>
      <c r="D142" s="17">
        <f>IF(C142="","",IFERROR(INDEX('案件台帳'!$B$6:$B$105,MATCH(C142,'案件台帳'!$A$6:$A$105,0)),""))</f>
        <v/>
      </c>
      <c r="E142" s="25" t="n"/>
      <c r="F142" s="45" t="n"/>
      <c r="G142" s="29" t="n"/>
      <c r="H142" s="45" t="n"/>
      <c r="I142" s="33" t="n"/>
      <c r="J142" s="45" t="n"/>
      <c r="K142" s="25" t="n"/>
      <c r="L142" s="51">
        <f>IF(OR(H142="",I142="支払い済み",B142=""),"",H142-TODAY())</f>
        <v/>
      </c>
    </row>
    <row r="143">
      <c r="A143" s="23">
        <f>IF(B143="","",ROW()-10)</f>
        <v/>
      </c>
      <c r="B143" s="25" t="n"/>
      <c r="C143" s="25" t="n"/>
      <c r="D143" s="17">
        <f>IF(C143="","",IFERROR(INDEX('案件台帳'!$B$6:$B$105,MATCH(C143,'案件台帳'!$A$6:$A$105,0)),""))</f>
        <v/>
      </c>
      <c r="E143" s="25" t="n"/>
      <c r="F143" s="45" t="n"/>
      <c r="G143" s="29" t="n"/>
      <c r="H143" s="45" t="n"/>
      <c r="I143" s="33" t="n"/>
      <c r="J143" s="45" t="n"/>
      <c r="K143" s="25" t="n"/>
      <c r="L143" s="51">
        <f>IF(OR(H143="",I143="支払い済み",B143=""),"",H143-TODAY())</f>
        <v/>
      </c>
    </row>
    <row r="144">
      <c r="A144" s="23">
        <f>IF(B144="","",ROW()-10)</f>
        <v/>
      </c>
      <c r="B144" s="25" t="n"/>
      <c r="C144" s="25" t="n"/>
      <c r="D144" s="17">
        <f>IF(C144="","",IFERROR(INDEX('案件台帳'!$B$6:$B$105,MATCH(C144,'案件台帳'!$A$6:$A$105,0)),""))</f>
        <v/>
      </c>
      <c r="E144" s="25" t="n"/>
      <c r="F144" s="45" t="n"/>
      <c r="G144" s="29" t="n"/>
      <c r="H144" s="45" t="n"/>
      <c r="I144" s="33" t="n"/>
      <c r="J144" s="45" t="n"/>
      <c r="K144" s="25" t="n"/>
      <c r="L144" s="51">
        <f>IF(OR(H144="",I144="支払い済み",B144=""),"",H144-TODAY())</f>
        <v/>
      </c>
    </row>
    <row r="145">
      <c r="A145" s="23">
        <f>IF(B145="","",ROW()-10)</f>
        <v/>
      </c>
      <c r="B145" s="25" t="n"/>
      <c r="C145" s="25" t="n"/>
      <c r="D145" s="17">
        <f>IF(C145="","",IFERROR(INDEX('案件台帳'!$B$6:$B$105,MATCH(C145,'案件台帳'!$A$6:$A$105,0)),""))</f>
        <v/>
      </c>
      <c r="E145" s="25" t="n"/>
      <c r="F145" s="45" t="n"/>
      <c r="G145" s="29" t="n"/>
      <c r="H145" s="45" t="n"/>
      <c r="I145" s="33" t="n"/>
      <c r="J145" s="45" t="n"/>
      <c r="K145" s="25" t="n"/>
      <c r="L145" s="51">
        <f>IF(OR(H145="",I145="支払い済み",B145=""),"",H145-TODAY())</f>
        <v/>
      </c>
    </row>
    <row r="146">
      <c r="A146" s="23">
        <f>IF(B146="","",ROW()-10)</f>
        <v/>
      </c>
      <c r="B146" s="25" t="n"/>
      <c r="C146" s="25" t="n"/>
      <c r="D146" s="17">
        <f>IF(C146="","",IFERROR(INDEX('案件台帳'!$B$6:$B$105,MATCH(C146,'案件台帳'!$A$6:$A$105,0)),""))</f>
        <v/>
      </c>
      <c r="E146" s="25" t="n"/>
      <c r="F146" s="45" t="n"/>
      <c r="G146" s="29" t="n"/>
      <c r="H146" s="45" t="n"/>
      <c r="I146" s="33" t="n"/>
      <c r="J146" s="45" t="n"/>
      <c r="K146" s="25" t="n"/>
      <c r="L146" s="51">
        <f>IF(OR(H146="",I146="支払い済み",B146=""),"",H146-TODAY())</f>
        <v/>
      </c>
    </row>
    <row r="147">
      <c r="A147" s="23">
        <f>IF(B147="","",ROW()-10)</f>
        <v/>
      </c>
      <c r="B147" s="25" t="n"/>
      <c r="C147" s="25" t="n"/>
      <c r="D147" s="17">
        <f>IF(C147="","",IFERROR(INDEX('案件台帳'!$B$6:$B$105,MATCH(C147,'案件台帳'!$A$6:$A$105,0)),""))</f>
        <v/>
      </c>
      <c r="E147" s="25" t="n"/>
      <c r="F147" s="45" t="n"/>
      <c r="G147" s="29" t="n"/>
      <c r="H147" s="45" t="n"/>
      <c r="I147" s="33" t="n"/>
      <c r="J147" s="45" t="n"/>
      <c r="K147" s="25" t="n"/>
      <c r="L147" s="51">
        <f>IF(OR(H147="",I147="支払い済み",B147=""),"",H147-TODAY())</f>
        <v/>
      </c>
    </row>
    <row r="148">
      <c r="A148" s="23">
        <f>IF(B148="","",ROW()-10)</f>
        <v/>
      </c>
      <c r="B148" s="25" t="n"/>
      <c r="C148" s="25" t="n"/>
      <c r="D148" s="17">
        <f>IF(C148="","",IFERROR(INDEX('案件台帳'!$B$6:$B$105,MATCH(C148,'案件台帳'!$A$6:$A$105,0)),""))</f>
        <v/>
      </c>
      <c r="E148" s="25" t="n"/>
      <c r="F148" s="45" t="n"/>
      <c r="G148" s="29" t="n"/>
      <c r="H148" s="45" t="n"/>
      <c r="I148" s="33" t="n"/>
      <c r="J148" s="45" t="n"/>
      <c r="K148" s="25" t="n"/>
      <c r="L148" s="51">
        <f>IF(OR(H148="",I148="支払い済み",B148=""),"",H148-TODAY())</f>
        <v/>
      </c>
    </row>
    <row r="149">
      <c r="A149" s="23">
        <f>IF(B149="","",ROW()-10)</f>
        <v/>
      </c>
      <c r="B149" s="25" t="n"/>
      <c r="C149" s="25" t="n"/>
      <c r="D149" s="17">
        <f>IF(C149="","",IFERROR(INDEX('案件台帳'!$B$6:$B$105,MATCH(C149,'案件台帳'!$A$6:$A$105,0)),""))</f>
        <v/>
      </c>
      <c r="E149" s="25" t="n"/>
      <c r="F149" s="45" t="n"/>
      <c r="G149" s="29" t="n"/>
      <c r="H149" s="45" t="n"/>
      <c r="I149" s="33" t="n"/>
      <c r="J149" s="45" t="n"/>
      <c r="K149" s="25" t="n"/>
      <c r="L149" s="51">
        <f>IF(OR(H149="",I149="支払い済み",B149=""),"",H149-TODAY())</f>
        <v/>
      </c>
    </row>
    <row r="150">
      <c r="A150" s="23">
        <f>IF(B150="","",ROW()-10)</f>
        <v/>
      </c>
      <c r="B150" s="25" t="n"/>
      <c r="C150" s="25" t="n"/>
      <c r="D150" s="17">
        <f>IF(C150="","",IFERROR(INDEX('案件台帳'!$B$6:$B$105,MATCH(C150,'案件台帳'!$A$6:$A$105,0)),""))</f>
        <v/>
      </c>
      <c r="E150" s="25" t="n"/>
      <c r="F150" s="45" t="n"/>
      <c r="G150" s="29" t="n"/>
      <c r="H150" s="45" t="n"/>
      <c r="I150" s="33" t="n"/>
      <c r="J150" s="45" t="n"/>
      <c r="K150" s="25" t="n"/>
      <c r="L150" s="51">
        <f>IF(OR(H150="",I150="支払い済み",B150=""),"",H150-TODAY())</f>
        <v/>
      </c>
    </row>
    <row r="151">
      <c r="A151" s="23">
        <f>IF(B151="","",ROW()-10)</f>
        <v/>
      </c>
      <c r="B151" s="25" t="n"/>
      <c r="C151" s="25" t="n"/>
      <c r="D151" s="17">
        <f>IF(C151="","",IFERROR(INDEX('案件台帳'!$B$6:$B$105,MATCH(C151,'案件台帳'!$A$6:$A$105,0)),""))</f>
        <v/>
      </c>
      <c r="E151" s="25" t="n"/>
      <c r="F151" s="45" t="n"/>
      <c r="G151" s="29" t="n"/>
      <c r="H151" s="45" t="n"/>
      <c r="I151" s="33" t="n"/>
      <c r="J151" s="45" t="n"/>
      <c r="K151" s="25" t="n"/>
      <c r="L151" s="51">
        <f>IF(OR(H151="",I151="支払い済み",B151=""),"",H151-TODAY())</f>
        <v/>
      </c>
    </row>
    <row r="152">
      <c r="A152" s="23">
        <f>IF(B152="","",ROW()-10)</f>
        <v/>
      </c>
      <c r="B152" s="25" t="n"/>
      <c r="C152" s="25" t="n"/>
      <c r="D152" s="17">
        <f>IF(C152="","",IFERROR(INDEX('案件台帳'!$B$6:$B$105,MATCH(C152,'案件台帳'!$A$6:$A$105,0)),""))</f>
        <v/>
      </c>
      <c r="E152" s="25" t="n"/>
      <c r="F152" s="45" t="n"/>
      <c r="G152" s="29" t="n"/>
      <c r="H152" s="45" t="n"/>
      <c r="I152" s="33" t="n"/>
      <c r="J152" s="45" t="n"/>
      <c r="K152" s="25" t="n"/>
      <c r="L152" s="51">
        <f>IF(OR(H152="",I152="支払い済み",B152=""),"",H152-TODAY())</f>
        <v/>
      </c>
    </row>
    <row r="153">
      <c r="A153" s="23">
        <f>IF(B153="","",ROW()-10)</f>
        <v/>
      </c>
      <c r="B153" s="25" t="n"/>
      <c r="C153" s="25" t="n"/>
      <c r="D153" s="17">
        <f>IF(C153="","",IFERROR(INDEX('案件台帳'!$B$6:$B$105,MATCH(C153,'案件台帳'!$A$6:$A$105,0)),""))</f>
        <v/>
      </c>
      <c r="E153" s="25" t="n"/>
      <c r="F153" s="45" t="n"/>
      <c r="G153" s="29" t="n"/>
      <c r="H153" s="45" t="n"/>
      <c r="I153" s="33" t="n"/>
      <c r="J153" s="45" t="n"/>
      <c r="K153" s="25" t="n"/>
      <c r="L153" s="51">
        <f>IF(OR(H153="",I153="支払い済み",B153=""),"",H153-TODAY())</f>
        <v/>
      </c>
    </row>
    <row r="154">
      <c r="A154" s="23">
        <f>IF(B154="","",ROW()-10)</f>
        <v/>
      </c>
      <c r="B154" s="25" t="n"/>
      <c r="C154" s="25" t="n"/>
      <c r="D154" s="17">
        <f>IF(C154="","",IFERROR(INDEX('案件台帳'!$B$6:$B$105,MATCH(C154,'案件台帳'!$A$6:$A$105,0)),""))</f>
        <v/>
      </c>
      <c r="E154" s="25" t="n"/>
      <c r="F154" s="45" t="n"/>
      <c r="G154" s="29" t="n"/>
      <c r="H154" s="45" t="n"/>
      <c r="I154" s="33" t="n"/>
      <c r="J154" s="45" t="n"/>
      <c r="K154" s="25" t="n"/>
      <c r="L154" s="51">
        <f>IF(OR(H154="",I154="支払い済み",B154=""),"",H154-TODAY())</f>
        <v/>
      </c>
    </row>
    <row r="155">
      <c r="A155" s="23">
        <f>IF(B155="","",ROW()-10)</f>
        <v/>
      </c>
      <c r="B155" s="25" t="n"/>
      <c r="C155" s="25" t="n"/>
      <c r="D155" s="17">
        <f>IF(C155="","",IFERROR(INDEX('案件台帳'!$B$6:$B$105,MATCH(C155,'案件台帳'!$A$6:$A$105,0)),""))</f>
        <v/>
      </c>
      <c r="E155" s="25" t="n"/>
      <c r="F155" s="45" t="n"/>
      <c r="G155" s="29" t="n"/>
      <c r="H155" s="45" t="n"/>
      <c r="I155" s="33" t="n"/>
      <c r="J155" s="45" t="n"/>
      <c r="K155" s="25" t="n"/>
      <c r="L155" s="51">
        <f>IF(OR(H155="",I155="支払い済み",B155=""),"",H155-TODAY())</f>
        <v/>
      </c>
    </row>
    <row r="156">
      <c r="A156" s="23">
        <f>IF(B156="","",ROW()-10)</f>
        <v/>
      </c>
      <c r="B156" s="25" t="n"/>
      <c r="C156" s="25" t="n"/>
      <c r="D156" s="17">
        <f>IF(C156="","",IFERROR(INDEX('案件台帳'!$B$6:$B$105,MATCH(C156,'案件台帳'!$A$6:$A$105,0)),""))</f>
        <v/>
      </c>
      <c r="E156" s="25" t="n"/>
      <c r="F156" s="45" t="n"/>
      <c r="G156" s="29" t="n"/>
      <c r="H156" s="45" t="n"/>
      <c r="I156" s="33" t="n"/>
      <c r="J156" s="45" t="n"/>
      <c r="K156" s="25" t="n"/>
      <c r="L156" s="51">
        <f>IF(OR(H156="",I156="支払い済み",B156=""),"",H156-TODAY())</f>
        <v/>
      </c>
    </row>
    <row r="157">
      <c r="A157" s="23">
        <f>IF(B157="","",ROW()-10)</f>
        <v/>
      </c>
      <c r="B157" s="25" t="n"/>
      <c r="C157" s="25" t="n"/>
      <c r="D157" s="17">
        <f>IF(C157="","",IFERROR(INDEX('案件台帳'!$B$6:$B$105,MATCH(C157,'案件台帳'!$A$6:$A$105,0)),""))</f>
        <v/>
      </c>
      <c r="E157" s="25" t="n"/>
      <c r="F157" s="45" t="n"/>
      <c r="G157" s="29" t="n"/>
      <c r="H157" s="45" t="n"/>
      <c r="I157" s="33" t="n"/>
      <c r="J157" s="45" t="n"/>
      <c r="K157" s="25" t="n"/>
      <c r="L157" s="51">
        <f>IF(OR(H157="",I157="支払い済み",B157=""),"",H157-TODAY())</f>
        <v/>
      </c>
    </row>
    <row r="158">
      <c r="A158" s="23">
        <f>IF(B158="","",ROW()-10)</f>
        <v/>
      </c>
      <c r="B158" s="25" t="n"/>
      <c r="C158" s="25" t="n"/>
      <c r="D158" s="17">
        <f>IF(C158="","",IFERROR(INDEX('案件台帳'!$B$6:$B$105,MATCH(C158,'案件台帳'!$A$6:$A$105,0)),""))</f>
        <v/>
      </c>
      <c r="E158" s="25" t="n"/>
      <c r="F158" s="45" t="n"/>
      <c r="G158" s="29" t="n"/>
      <c r="H158" s="45" t="n"/>
      <c r="I158" s="33" t="n"/>
      <c r="J158" s="45" t="n"/>
      <c r="K158" s="25" t="n"/>
      <c r="L158" s="51">
        <f>IF(OR(H158="",I158="支払い済み",B158=""),"",H158-TODAY())</f>
        <v/>
      </c>
    </row>
    <row r="159">
      <c r="A159" s="23">
        <f>IF(B159="","",ROW()-10)</f>
        <v/>
      </c>
      <c r="B159" s="25" t="n"/>
      <c r="C159" s="25" t="n"/>
      <c r="D159" s="17">
        <f>IF(C159="","",IFERROR(INDEX('案件台帳'!$B$6:$B$105,MATCH(C159,'案件台帳'!$A$6:$A$105,0)),""))</f>
        <v/>
      </c>
      <c r="E159" s="25" t="n"/>
      <c r="F159" s="45" t="n"/>
      <c r="G159" s="29" t="n"/>
      <c r="H159" s="45" t="n"/>
      <c r="I159" s="33" t="n"/>
      <c r="J159" s="45" t="n"/>
      <c r="K159" s="25" t="n"/>
      <c r="L159" s="51">
        <f>IF(OR(H159="",I159="支払い済み",B159=""),"",H159-TODAY())</f>
        <v/>
      </c>
    </row>
    <row r="160">
      <c r="A160" s="23">
        <f>IF(B160="","",ROW()-10)</f>
        <v/>
      </c>
      <c r="B160" s="25" t="n"/>
      <c r="C160" s="25" t="n"/>
      <c r="D160" s="17">
        <f>IF(C160="","",IFERROR(INDEX('案件台帳'!$B$6:$B$105,MATCH(C160,'案件台帳'!$A$6:$A$105,0)),""))</f>
        <v/>
      </c>
      <c r="E160" s="25" t="n"/>
      <c r="F160" s="45" t="n"/>
      <c r="G160" s="29" t="n"/>
      <c r="H160" s="45" t="n"/>
      <c r="I160" s="33" t="n"/>
      <c r="J160" s="45" t="n"/>
      <c r="K160" s="25" t="n"/>
      <c r="L160" s="51">
        <f>IF(OR(H160="",I160="支払い済み",B160=""),"",H160-TODAY())</f>
        <v/>
      </c>
    </row>
    <row r="161">
      <c r="A161" s="23">
        <f>IF(B161="","",ROW()-10)</f>
        <v/>
      </c>
      <c r="B161" s="25" t="n"/>
      <c r="C161" s="25" t="n"/>
      <c r="D161" s="17">
        <f>IF(C161="","",IFERROR(INDEX('案件台帳'!$B$6:$B$105,MATCH(C161,'案件台帳'!$A$6:$A$105,0)),""))</f>
        <v/>
      </c>
      <c r="E161" s="25" t="n"/>
      <c r="F161" s="45" t="n"/>
      <c r="G161" s="29" t="n"/>
      <c r="H161" s="45" t="n"/>
      <c r="I161" s="33" t="n"/>
      <c r="J161" s="45" t="n"/>
      <c r="K161" s="25" t="n"/>
      <c r="L161" s="51">
        <f>IF(OR(H161="",I161="支払い済み",B161=""),"",H161-TODAY())</f>
        <v/>
      </c>
    </row>
    <row r="162">
      <c r="A162" s="23">
        <f>IF(B162="","",ROW()-10)</f>
        <v/>
      </c>
      <c r="B162" s="25" t="n"/>
      <c r="C162" s="25" t="n"/>
      <c r="D162" s="17">
        <f>IF(C162="","",IFERROR(INDEX('案件台帳'!$B$6:$B$105,MATCH(C162,'案件台帳'!$A$6:$A$105,0)),""))</f>
        <v/>
      </c>
      <c r="E162" s="25" t="n"/>
      <c r="F162" s="45" t="n"/>
      <c r="G162" s="29" t="n"/>
      <c r="H162" s="45" t="n"/>
      <c r="I162" s="33" t="n"/>
      <c r="J162" s="45" t="n"/>
      <c r="K162" s="25" t="n"/>
      <c r="L162" s="51">
        <f>IF(OR(H162="",I162="支払い済み",B162=""),"",H162-TODAY())</f>
        <v/>
      </c>
    </row>
    <row r="163">
      <c r="A163" s="23">
        <f>IF(B163="","",ROW()-10)</f>
        <v/>
      </c>
      <c r="B163" s="25" t="n"/>
      <c r="C163" s="25" t="n"/>
      <c r="D163" s="17">
        <f>IF(C163="","",IFERROR(INDEX('案件台帳'!$B$6:$B$105,MATCH(C163,'案件台帳'!$A$6:$A$105,0)),""))</f>
        <v/>
      </c>
      <c r="E163" s="25" t="n"/>
      <c r="F163" s="45" t="n"/>
      <c r="G163" s="29" t="n"/>
      <c r="H163" s="45" t="n"/>
      <c r="I163" s="33" t="n"/>
      <c r="J163" s="45" t="n"/>
      <c r="K163" s="25" t="n"/>
      <c r="L163" s="51">
        <f>IF(OR(H163="",I163="支払い済み",B163=""),"",H163-TODAY())</f>
        <v/>
      </c>
    </row>
    <row r="164">
      <c r="A164" s="23">
        <f>IF(B164="","",ROW()-10)</f>
        <v/>
      </c>
      <c r="B164" s="25" t="n"/>
      <c r="C164" s="25" t="n"/>
      <c r="D164" s="17">
        <f>IF(C164="","",IFERROR(INDEX('案件台帳'!$B$6:$B$105,MATCH(C164,'案件台帳'!$A$6:$A$105,0)),""))</f>
        <v/>
      </c>
      <c r="E164" s="25" t="n"/>
      <c r="F164" s="45" t="n"/>
      <c r="G164" s="29" t="n"/>
      <c r="H164" s="45" t="n"/>
      <c r="I164" s="33" t="n"/>
      <c r="J164" s="45" t="n"/>
      <c r="K164" s="25" t="n"/>
      <c r="L164" s="51">
        <f>IF(OR(H164="",I164="支払い済み",B164=""),"",H164-TODAY())</f>
        <v/>
      </c>
    </row>
    <row r="165">
      <c r="A165" s="23">
        <f>IF(B165="","",ROW()-10)</f>
        <v/>
      </c>
      <c r="B165" s="25" t="n"/>
      <c r="C165" s="25" t="n"/>
      <c r="D165" s="17">
        <f>IF(C165="","",IFERROR(INDEX('案件台帳'!$B$6:$B$105,MATCH(C165,'案件台帳'!$A$6:$A$105,0)),""))</f>
        <v/>
      </c>
      <c r="E165" s="25" t="n"/>
      <c r="F165" s="45" t="n"/>
      <c r="G165" s="29" t="n"/>
      <c r="H165" s="45" t="n"/>
      <c r="I165" s="33" t="n"/>
      <c r="J165" s="45" t="n"/>
      <c r="K165" s="25" t="n"/>
      <c r="L165" s="51">
        <f>IF(OR(H165="",I165="支払い済み",B165=""),"",H165-TODAY())</f>
        <v/>
      </c>
    </row>
    <row r="166">
      <c r="A166" s="23">
        <f>IF(B166="","",ROW()-10)</f>
        <v/>
      </c>
      <c r="B166" s="25" t="n"/>
      <c r="C166" s="25" t="n"/>
      <c r="D166" s="17">
        <f>IF(C166="","",IFERROR(INDEX('案件台帳'!$B$6:$B$105,MATCH(C166,'案件台帳'!$A$6:$A$105,0)),""))</f>
        <v/>
      </c>
      <c r="E166" s="25" t="n"/>
      <c r="F166" s="45" t="n"/>
      <c r="G166" s="29" t="n"/>
      <c r="H166" s="45" t="n"/>
      <c r="I166" s="33" t="n"/>
      <c r="J166" s="45" t="n"/>
      <c r="K166" s="25" t="n"/>
      <c r="L166" s="51">
        <f>IF(OR(H166="",I166="支払い済み",B166=""),"",H166-TODAY())</f>
        <v/>
      </c>
    </row>
    <row r="167">
      <c r="A167" s="23">
        <f>IF(B167="","",ROW()-10)</f>
        <v/>
      </c>
      <c r="B167" s="25" t="n"/>
      <c r="C167" s="25" t="n"/>
      <c r="D167" s="17">
        <f>IF(C167="","",IFERROR(INDEX('案件台帳'!$B$6:$B$105,MATCH(C167,'案件台帳'!$A$6:$A$105,0)),""))</f>
        <v/>
      </c>
      <c r="E167" s="25" t="n"/>
      <c r="F167" s="45" t="n"/>
      <c r="G167" s="29" t="n"/>
      <c r="H167" s="45" t="n"/>
      <c r="I167" s="33" t="n"/>
      <c r="J167" s="45" t="n"/>
      <c r="K167" s="25" t="n"/>
      <c r="L167" s="51">
        <f>IF(OR(H167="",I167="支払い済み",B167=""),"",H167-TODAY())</f>
        <v/>
      </c>
    </row>
    <row r="168">
      <c r="A168" s="23">
        <f>IF(B168="","",ROW()-10)</f>
        <v/>
      </c>
      <c r="B168" s="25" t="n"/>
      <c r="C168" s="25" t="n"/>
      <c r="D168" s="17">
        <f>IF(C168="","",IFERROR(INDEX('案件台帳'!$B$6:$B$105,MATCH(C168,'案件台帳'!$A$6:$A$105,0)),""))</f>
        <v/>
      </c>
      <c r="E168" s="25" t="n"/>
      <c r="F168" s="45" t="n"/>
      <c r="G168" s="29" t="n"/>
      <c r="H168" s="45" t="n"/>
      <c r="I168" s="33" t="n"/>
      <c r="J168" s="45" t="n"/>
      <c r="K168" s="25" t="n"/>
      <c r="L168" s="51">
        <f>IF(OR(H168="",I168="支払い済み",B168=""),"",H168-TODAY())</f>
        <v/>
      </c>
    </row>
    <row r="169">
      <c r="A169" s="23">
        <f>IF(B169="","",ROW()-10)</f>
        <v/>
      </c>
      <c r="B169" s="25" t="n"/>
      <c r="C169" s="25" t="n"/>
      <c r="D169" s="17">
        <f>IF(C169="","",IFERROR(INDEX('案件台帳'!$B$6:$B$105,MATCH(C169,'案件台帳'!$A$6:$A$105,0)),""))</f>
        <v/>
      </c>
      <c r="E169" s="25" t="n"/>
      <c r="F169" s="45" t="n"/>
      <c r="G169" s="29" t="n"/>
      <c r="H169" s="45" t="n"/>
      <c r="I169" s="33" t="n"/>
      <c r="J169" s="45" t="n"/>
      <c r="K169" s="25" t="n"/>
      <c r="L169" s="51">
        <f>IF(OR(H169="",I169="支払い済み",B169=""),"",H169-TODAY())</f>
        <v/>
      </c>
    </row>
    <row r="170">
      <c r="A170" s="23">
        <f>IF(B170="","",ROW()-10)</f>
        <v/>
      </c>
      <c r="B170" s="25" t="n"/>
      <c r="C170" s="25" t="n"/>
      <c r="D170" s="17">
        <f>IF(C170="","",IFERROR(INDEX('案件台帳'!$B$6:$B$105,MATCH(C170,'案件台帳'!$A$6:$A$105,0)),""))</f>
        <v/>
      </c>
      <c r="E170" s="25" t="n"/>
      <c r="F170" s="45" t="n"/>
      <c r="G170" s="29" t="n"/>
      <c r="H170" s="45" t="n"/>
      <c r="I170" s="33" t="n"/>
      <c r="J170" s="45" t="n"/>
      <c r="K170" s="25" t="n"/>
      <c r="L170" s="51">
        <f>IF(OR(H170="",I170="支払い済み",B170=""),"",H170-TODAY())</f>
        <v/>
      </c>
    </row>
    <row r="171">
      <c r="A171" s="23">
        <f>IF(B171="","",ROW()-10)</f>
        <v/>
      </c>
      <c r="B171" s="25" t="n"/>
      <c r="C171" s="25" t="n"/>
      <c r="D171" s="17">
        <f>IF(C171="","",IFERROR(INDEX('案件台帳'!$B$6:$B$105,MATCH(C171,'案件台帳'!$A$6:$A$105,0)),""))</f>
        <v/>
      </c>
      <c r="E171" s="25" t="n"/>
      <c r="F171" s="45" t="n"/>
      <c r="G171" s="29" t="n"/>
      <c r="H171" s="45" t="n"/>
      <c r="I171" s="33" t="n"/>
      <c r="J171" s="45" t="n"/>
      <c r="K171" s="25" t="n"/>
      <c r="L171" s="51">
        <f>IF(OR(H171="",I171="支払い済み",B171=""),"",H171-TODAY())</f>
        <v/>
      </c>
    </row>
    <row r="172">
      <c r="A172" s="23">
        <f>IF(B172="","",ROW()-10)</f>
        <v/>
      </c>
      <c r="B172" s="25" t="n"/>
      <c r="C172" s="25" t="n"/>
      <c r="D172" s="17">
        <f>IF(C172="","",IFERROR(INDEX('案件台帳'!$B$6:$B$105,MATCH(C172,'案件台帳'!$A$6:$A$105,0)),""))</f>
        <v/>
      </c>
      <c r="E172" s="25" t="n"/>
      <c r="F172" s="45" t="n"/>
      <c r="G172" s="29" t="n"/>
      <c r="H172" s="45" t="n"/>
      <c r="I172" s="33" t="n"/>
      <c r="J172" s="45" t="n"/>
      <c r="K172" s="25" t="n"/>
      <c r="L172" s="51">
        <f>IF(OR(H172="",I172="支払い済み",B172=""),"",H172-TODAY())</f>
        <v/>
      </c>
    </row>
    <row r="173">
      <c r="A173" s="23">
        <f>IF(B173="","",ROW()-10)</f>
        <v/>
      </c>
      <c r="B173" s="25" t="n"/>
      <c r="C173" s="25" t="n"/>
      <c r="D173" s="17">
        <f>IF(C173="","",IFERROR(INDEX('案件台帳'!$B$6:$B$105,MATCH(C173,'案件台帳'!$A$6:$A$105,0)),""))</f>
        <v/>
      </c>
      <c r="E173" s="25" t="n"/>
      <c r="F173" s="45" t="n"/>
      <c r="G173" s="29" t="n"/>
      <c r="H173" s="45" t="n"/>
      <c r="I173" s="33" t="n"/>
      <c r="J173" s="45" t="n"/>
      <c r="K173" s="25" t="n"/>
      <c r="L173" s="51">
        <f>IF(OR(H173="",I173="支払い済み",B173=""),"",H173-TODAY())</f>
        <v/>
      </c>
    </row>
    <row r="174">
      <c r="A174" s="23">
        <f>IF(B174="","",ROW()-10)</f>
        <v/>
      </c>
      <c r="B174" s="25" t="n"/>
      <c r="C174" s="25" t="n"/>
      <c r="D174" s="17">
        <f>IF(C174="","",IFERROR(INDEX('案件台帳'!$B$6:$B$105,MATCH(C174,'案件台帳'!$A$6:$A$105,0)),""))</f>
        <v/>
      </c>
      <c r="E174" s="25" t="n"/>
      <c r="F174" s="45" t="n"/>
      <c r="G174" s="29" t="n"/>
      <c r="H174" s="45" t="n"/>
      <c r="I174" s="33" t="n"/>
      <c r="J174" s="45" t="n"/>
      <c r="K174" s="25" t="n"/>
      <c r="L174" s="51">
        <f>IF(OR(H174="",I174="支払い済み",B174=""),"",H174-TODAY())</f>
        <v/>
      </c>
    </row>
    <row r="175">
      <c r="A175" s="23">
        <f>IF(B175="","",ROW()-10)</f>
        <v/>
      </c>
      <c r="B175" s="25" t="n"/>
      <c r="C175" s="25" t="n"/>
      <c r="D175" s="17">
        <f>IF(C175="","",IFERROR(INDEX('案件台帳'!$B$6:$B$105,MATCH(C175,'案件台帳'!$A$6:$A$105,0)),""))</f>
        <v/>
      </c>
      <c r="E175" s="25" t="n"/>
      <c r="F175" s="45" t="n"/>
      <c r="G175" s="29" t="n"/>
      <c r="H175" s="45" t="n"/>
      <c r="I175" s="33" t="n"/>
      <c r="J175" s="45" t="n"/>
      <c r="K175" s="25" t="n"/>
      <c r="L175" s="51">
        <f>IF(OR(H175="",I175="支払い済み",B175=""),"",H175-TODAY())</f>
        <v/>
      </c>
    </row>
    <row r="176">
      <c r="A176" s="23">
        <f>IF(B176="","",ROW()-10)</f>
        <v/>
      </c>
      <c r="B176" s="25" t="n"/>
      <c r="C176" s="25" t="n"/>
      <c r="D176" s="17">
        <f>IF(C176="","",IFERROR(INDEX('案件台帳'!$B$6:$B$105,MATCH(C176,'案件台帳'!$A$6:$A$105,0)),""))</f>
        <v/>
      </c>
      <c r="E176" s="25" t="n"/>
      <c r="F176" s="45" t="n"/>
      <c r="G176" s="29" t="n"/>
      <c r="H176" s="45" t="n"/>
      <c r="I176" s="33" t="n"/>
      <c r="J176" s="45" t="n"/>
      <c r="K176" s="25" t="n"/>
      <c r="L176" s="51">
        <f>IF(OR(H176="",I176="支払い済み",B176=""),"",H176-TODAY())</f>
        <v/>
      </c>
    </row>
    <row r="177">
      <c r="A177" s="23">
        <f>IF(B177="","",ROW()-10)</f>
        <v/>
      </c>
      <c r="B177" s="25" t="n"/>
      <c r="C177" s="25" t="n"/>
      <c r="D177" s="17">
        <f>IF(C177="","",IFERROR(INDEX('案件台帳'!$B$6:$B$105,MATCH(C177,'案件台帳'!$A$6:$A$105,0)),""))</f>
        <v/>
      </c>
      <c r="E177" s="25" t="n"/>
      <c r="F177" s="45" t="n"/>
      <c r="G177" s="29" t="n"/>
      <c r="H177" s="45" t="n"/>
      <c r="I177" s="33" t="n"/>
      <c r="J177" s="45" t="n"/>
      <c r="K177" s="25" t="n"/>
      <c r="L177" s="51">
        <f>IF(OR(H177="",I177="支払い済み",B177=""),"",H177-TODAY())</f>
        <v/>
      </c>
    </row>
    <row r="178">
      <c r="A178" s="23">
        <f>IF(B178="","",ROW()-10)</f>
        <v/>
      </c>
      <c r="B178" s="25" t="n"/>
      <c r="C178" s="25" t="n"/>
      <c r="D178" s="17">
        <f>IF(C178="","",IFERROR(INDEX('案件台帳'!$B$6:$B$105,MATCH(C178,'案件台帳'!$A$6:$A$105,0)),""))</f>
        <v/>
      </c>
      <c r="E178" s="25" t="n"/>
      <c r="F178" s="45" t="n"/>
      <c r="G178" s="29" t="n"/>
      <c r="H178" s="45" t="n"/>
      <c r="I178" s="33" t="n"/>
      <c r="J178" s="45" t="n"/>
      <c r="K178" s="25" t="n"/>
      <c r="L178" s="51">
        <f>IF(OR(H178="",I178="支払い済み",B178=""),"",H178-TODAY())</f>
        <v/>
      </c>
    </row>
    <row r="179">
      <c r="A179" s="23">
        <f>IF(B179="","",ROW()-10)</f>
        <v/>
      </c>
      <c r="B179" s="25" t="n"/>
      <c r="C179" s="25" t="n"/>
      <c r="D179" s="17">
        <f>IF(C179="","",IFERROR(INDEX('案件台帳'!$B$6:$B$105,MATCH(C179,'案件台帳'!$A$6:$A$105,0)),""))</f>
        <v/>
      </c>
      <c r="E179" s="25" t="n"/>
      <c r="F179" s="45" t="n"/>
      <c r="G179" s="29" t="n"/>
      <c r="H179" s="45" t="n"/>
      <c r="I179" s="33" t="n"/>
      <c r="J179" s="45" t="n"/>
      <c r="K179" s="25" t="n"/>
      <c r="L179" s="51">
        <f>IF(OR(H179="",I179="支払い済み",B179=""),"",H179-TODAY())</f>
        <v/>
      </c>
    </row>
    <row r="180">
      <c r="A180" s="23">
        <f>IF(B180="","",ROW()-10)</f>
        <v/>
      </c>
      <c r="B180" s="25" t="n"/>
      <c r="C180" s="25" t="n"/>
      <c r="D180" s="17">
        <f>IF(C180="","",IFERROR(INDEX('案件台帳'!$B$6:$B$105,MATCH(C180,'案件台帳'!$A$6:$A$105,0)),""))</f>
        <v/>
      </c>
      <c r="E180" s="25" t="n"/>
      <c r="F180" s="45" t="n"/>
      <c r="G180" s="29" t="n"/>
      <c r="H180" s="45" t="n"/>
      <c r="I180" s="33" t="n"/>
      <c r="J180" s="45" t="n"/>
      <c r="K180" s="25" t="n"/>
      <c r="L180" s="51">
        <f>IF(OR(H180="",I180="支払い済み",B180=""),"",H180-TODAY())</f>
        <v/>
      </c>
    </row>
    <row r="181">
      <c r="A181" s="23">
        <f>IF(B181="","",ROW()-10)</f>
        <v/>
      </c>
      <c r="B181" s="25" t="n"/>
      <c r="C181" s="25" t="n"/>
      <c r="D181" s="17">
        <f>IF(C181="","",IFERROR(INDEX('案件台帳'!$B$6:$B$105,MATCH(C181,'案件台帳'!$A$6:$A$105,0)),""))</f>
        <v/>
      </c>
      <c r="E181" s="25" t="n"/>
      <c r="F181" s="45" t="n"/>
      <c r="G181" s="29" t="n"/>
      <c r="H181" s="45" t="n"/>
      <c r="I181" s="33" t="n"/>
      <c r="J181" s="45" t="n"/>
      <c r="K181" s="25" t="n"/>
      <c r="L181" s="51">
        <f>IF(OR(H181="",I181="支払い済み",B181=""),"",H181-TODAY())</f>
        <v/>
      </c>
    </row>
    <row r="182">
      <c r="A182" s="23">
        <f>IF(B182="","",ROW()-10)</f>
        <v/>
      </c>
      <c r="B182" s="25" t="n"/>
      <c r="C182" s="25" t="n"/>
      <c r="D182" s="17">
        <f>IF(C182="","",IFERROR(INDEX('案件台帳'!$B$6:$B$105,MATCH(C182,'案件台帳'!$A$6:$A$105,0)),""))</f>
        <v/>
      </c>
      <c r="E182" s="25" t="n"/>
      <c r="F182" s="45" t="n"/>
      <c r="G182" s="29" t="n"/>
      <c r="H182" s="45" t="n"/>
      <c r="I182" s="33" t="n"/>
      <c r="J182" s="45" t="n"/>
      <c r="K182" s="25" t="n"/>
      <c r="L182" s="51">
        <f>IF(OR(H182="",I182="支払い済み",B182=""),"",H182-TODAY())</f>
        <v/>
      </c>
    </row>
    <row r="183">
      <c r="A183" s="23">
        <f>IF(B183="","",ROW()-10)</f>
        <v/>
      </c>
      <c r="B183" s="25" t="n"/>
      <c r="C183" s="25" t="n"/>
      <c r="D183" s="17">
        <f>IF(C183="","",IFERROR(INDEX('案件台帳'!$B$6:$B$105,MATCH(C183,'案件台帳'!$A$6:$A$105,0)),""))</f>
        <v/>
      </c>
      <c r="E183" s="25" t="n"/>
      <c r="F183" s="45" t="n"/>
      <c r="G183" s="29" t="n"/>
      <c r="H183" s="45" t="n"/>
      <c r="I183" s="33" t="n"/>
      <c r="J183" s="45" t="n"/>
      <c r="K183" s="25" t="n"/>
      <c r="L183" s="51">
        <f>IF(OR(H183="",I183="支払い済み",B183=""),"",H183-TODAY())</f>
        <v/>
      </c>
    </row>
    <row r="184">
      <c r="A184" s="23">
        <f>IF(B184="","",ROW()-10)</f>
        <v/>
      </c>
      <c r="B184" s="25" t="n"/>
      <c r="C184" s="25" t="n"/>
      <c r="D184" s="17">
        <f>IF(C184="","",IFERROR(INDEX('案件台帳'!$B$6:$B$105,MATCH(C184,'案件台帳'!$A$6:$A$105,0)),""))</f>
        <v/>
      </c>
      <c r="E184" s="25" t="n"/>
      <c r="F184" s="45" t="n"/>
      <c r="G184" s="29" t="n"/>
      <c r="H184" s="45" t="n"/>
      <c r="I184" s="33" t="n"/>
      <c r="J184" s="45" t="n"/>
      <c r="K184" s="25" t="n"/>
      <c r="L184" s="51">
        <f>IF(OR(H184="",I184="支払い済み",B184=""),"",H184-TODAY())</f>
        <v/>
      </c>
    </row>
    <row r="185">
      <c r="A185" s="23">
        <f>IF(B185="","",ROW()-10)</f>
        <v/>
      </c>
      <c r="B185" s="25" t="n"/>
      <c r="C185" s="25" t="n"/>
      <c r="D185" s="17">
        <f>IF(C185="","",IFERROR(INDEX('案件台帳'!$B$6:$B$105,MATCH(C185,'案件台帳'!$A$6:$A$105,0)),""))</f>
        <v/>
      </c>
      <c r="E185" s="25" t="n"/>
      <c r="F185" s="45" t="n"/>
      <c r="G185" s="29" t="n"/>
      <c r="H185" s="45" t="n"/>
      <c r="I185" s="33" t="n"/>
      <c r="J185" s="45" t="n"/>
      <c r="K185" s="25" t="n"/>
      <c r="L185" s="51">
        <f>IF(OR(H185="",I185="支払い済み",B185=""),"",H185-TODAY())</f>
        <v/>
      </c>
    </row>
    <row r="186">
      <c r="A186" s="23">
        <f>IF(B186="","",ROW()-10)</f>
        <v/>
      </c>
      <c r="B186" s="25" t="n"/>
      <c r="C186" s="25" t="n"/>
      <c r="D186" s="17">
        <f>IF(C186="","",IFERROR(INDEX('案件台帳'!$B$6:$B$105,MATCH(C186,'案件台帳'!$A$6:$A$105,0)),""))</f>
        <v/>
      </c>
      <c r="E186" s="25" t="n"/>
      <c r="F186" s="45" t="n"/>
      <c r="G186" s="29" t="n"/>
      <c r="H186" s="45" t="n"/>
      <c r="I186" s="33" t="n"/>
      <c r="J186" s="45" t="n"/>
      <c r="K186" s="25" t="n"/>
      <c r="L186" s="51">
        <f>IF(OR(H186="",I186="支払い済み",B186=""),"",H186-TODAY())</f>
        <v/>
      </c>
    </row>
    <row r="187">
      <c r="A187" s="23">
        <f>IF(B187="","",ROW()-10)</f>
        <v/>
      </c>
      <c r="B187" s="25" t="n"/>
      <c r="C187" s="25" t="n"/>
      <c r="D187" s="17">
        <f>IF(C187="","",IFERROR(INDEX('案件台帳'!$B$6:$B$105,MATCH(C187,'案件台帳'!$A$6:$A$105,0)),""))</f>
        <v/>
      </c>
      <c r="E187" s="25" t="n"/>
      <c r="F187" s="45" t="n"/>
      <c r="G187" s="29" t="n"/>
      <c r="H187" s="45" t="n"/>
      <c r="I187" s="33" t="n"/>
      <c r="J187" s="45" t="n"/>
      <c r="K187" s="25" t="n"/>
      <c r="L187" s="51">
        <f>IF(OR(H187="",I187="支払い済み",B187=""),"",H187-TODAY())</f>
        <v/>
      </c>
    </row>
    <row r="188">
      <c r="A188" s="23">
        <f>IF(B188="","",ROW()-10)</f>
        <v/>
      </c>
      <c r="B188" s="25" t="n"/>
      <c r="C188" s="25" t="n"/>
      <c r="D188" s="17">
        <f>IF(C188="","",IFERROR(INDEX('案件台帳'!$B$6:$B$105,MATCH(C188,'案件台帳'!$A$6:$A$105,0)),""))</f>
        <v/>
      </c>
      <c r="E188" s="25" t="n"/>
      <c r="F188" s="45" t="n"/>
      <c r="G188" s="29" t="n"/>
      <c r="H188" s="45" t="n"/>
      <c r="I188" s="33" t="n"/>
      <c r="J188" s="45" t="n"/>
      <c r="K188" s="25" t="n"/>
      <c r="L188" s="51">
        <f>IF(OR(H188="",I188="支払い済み",B188=""),"",H188-TODAY())</f>
        <v/>
      </c>
    </row>
    <row r="189">
      <c r="A189" s="23">
        <f>IF(B189="","",ROW()-10)</f>
        <v/>
      </c>
      <c r="B189" s="25" t="n"/>
      <c r="C189" s="25" t="n"/>
      <c r="D189" s="17">
        <f>IF(C189="","",IFERROR(INDEX('案件台帳'!$B$6:$B$105,MATCH(C189,'案件台帳'!$A$6:$A$105,0)),""))</f>
        <v/>
      </c>
      <c r="E189" s="25" t="n"/>
      <c r="F189" s="45" t="n"/>
      <c r="G189" s="29" t="n"/>
      <c r="H189" s="45" t="n"/>
      <c r="I189" s="33" t="n"/>
      <c r="J189" s="45" t="n"/>
      <c r="K189" s="25" t="n"/>
      <c r="L189" s="51">
        <f>IF(OR(H189="",I189="支払い済み",B189=""),"",H189-TODAY())</f>
        <v/>
      </c>
    </row>
    <row r="190">
      <c r="A190" s="23">
        <f>IF(B190="","",ROW()-10)</f>
        <v/>
      </c>
      <c r="B190" s="25" t="n"/>
      <c r="C190" s="25" t="n"/>
      <c r="D190" s="17">
        <f>IF(C190="","",IFERROR(INDEX('案件台帳'!$B$6:$B$105,MATCH(C190,'案件台帳'!$A$6:$A$105,0)),""))</f>
        <v/>
      </c>
      <c r="E190" s="25" t="n"/>
      <c r="F190" s="45" t="n"/>
      <c r="G190" s="29" t="n"/>
      <c r="H190" s="45" t="n"/>
      <c r="I190" s="33" t="n"/>
      <c r="J190" s="45" t="n"/>
      <c r="K190" s="25" t="n"/>
      <c r="L190" s="51">
        <f>IF(OR(H190="",I190="支払い済み",B190=""),"",H190-TODAY())</f>
        <v/>
      </c>
    </row>
    <row r="191">
      <c r="A191" s="23">
        <f>IF(B191="","",ROW()-10)</f>
        <v/>
      </c>
      <c r="B191" s="25" t="n"/>
      <c r="C191" s="25" t="n"/>
      <c r="D191" s="17">
        <f>IF(C191="","",IFERROR(INDEX('案件台帳'!$B$6:$B$105,MATCH(C191,'案件台帳'!$A$6:$A$105,0)),""))</f>
        <v/>
      </c>
      <c r="E191" s="25" t="n"/>
      <c r="F191" s="45" t="n"/>
      <c r="G191" s="29" t="n"/>
      <c r="H191" s="45" t="n"/>
      <c r="I191" s="33" t="n"/>
      <c r="J191" s="45" t="n"/>
      <c r="K191" s="25" t="n"/>
      <c r="L191" s="51">
        <f>IF(OR(H191="",I191="支払い済み",B191=""),"",H191-TODAY())</f>
        <v/>
      </c>
    </row>
    <row r="192">
      <c r="A192" s="23">
        <f>IF(B192="","",ROW()-10)</f>
        <v/>
      </c>
      <c r="B192" s="25" t="n"/>
      <c r="C192" s="25" t="n"/>
      <c r="D192" s="17">
        <f>IF(C192="","",IFERROR(INDEX('案件台帳'!$B$6:$B$105,MATCH(C192,'案件台帳'!$A$6:$A$105,0)),""))</f>
        <v/>
      </c>
      <c r="E192" s="25" t="n"/>
      <c r="F192" s="45" t="n"/>
      <c r="G192" s="29" t="n"/>
      <c r="H192" s="45" t="n"/>
      <c r="I192" s="33" t="n"/>
      <c r="J192" s="45" t="n"/>
      <c r="K192" s="25" t="n"/>
      <c r="L192" s="51">
        <f>IF(OR(H192="",I192="支払い済み",B192=""),"",H192-TODAY())</f>
        <v/>
      </c>
    </row>
    <row r="193">
      <c r="A193" s="23">
        <f>IF(B193="","",ROW()-10)</f>
        <v/>
      </c>
      <c r="B193" s="25" t="n"/>
      <c r="C193" s="25" t="n"/>
      <c r="D193" s="17">
        <f>IF(C193="","",IFERROR(INDEX('案件台帳'!$B$6:$B$105,MATCH(C193,'案件台帳'!$A$6:$A$105,0)),""))</f>
        <v/>
      </c>
      <c r="E193" s="25" t="n"/>
      <c r="F193" s="45" t="n"/>
      <c r="G193" s="29" t="n"/>
      <c r="H193" s="45" t="n"/>
      <c r="I193" s="33" t="n"/>
      <c r="J193" s="45" t="n"/>
      <c r="K193" s="25" t="n"/>
      <c r="L193" s="51">
        <f>IF(OR(H193="",I193="支払い済み",B193=""),"",H193-TODAY())</f>
        <v/>
      </c>
    </row>
    <row r="194">
      <c r="A194" s="23">
        <f>IF(B194="","",ROW()-10)</f>
        <v/>
      </c>
      <c r="B194" s="25" t="n"/>
      <c r="C194" s="25" t="n"/>
      <c r="D194" s="17">
        <f>IF(C194="","",IFERROR(INDEX('案件台帳'!$B$6:$B$105,MATCH(C194,'案件台帳'!$A$6:$A$105,0)),""))</f>
        <v/>
      </c>
      <c r="E194" s="25" t="n"/>
      <c r="F194" s="45" t="n"/>
      <c r="G194" s="29" t="n"/>
      <c r="H194" s="45" t="n"/>
      <c r="I194" s="33" t="n"/>
      <c r="J194" s="45" t="n"/>
      <c r="K194" s="25" t="n"/>
      <c r="L194" s="51">
        <f>IF(OR(H194="",I194="支払い済み",B194=""),"",H194-TODAY())</f>
        <v/>
      </c>
    </row>
    <row r="195">
      <c r="A195" s="23">
        <f>IF(B195="","",ROW()-10)</f>
        <v/>
      </c>
      <c r="B195" s="25" t="n"/>
      <c r="C195" s="25" t="n"/>
      <c r="D195" s="17">
        <f>IF(C195="","",IFERROR(INDEX('案件台帳'!$B$6:$B$105,MATCH(C195,'案件台帳'!$A$6:$A$105,0)),""))</f>
        <v/>
      </c>
      <c r="E195" s="25" t="n"/>
      <c r="F195" s="45" t="n"/>
      <c r="G195" s="29" t="n"/>
      <c r="H195" s="45" t="n"/>
      <c r="I195" s="33" t="n"/>
      <c r="J195" s="45" t="n"/>
      <c r="K195" s="25" t="n"/>
      <c r="L195" s="51">
        <f>IF(OR(H195="",I195="支払い済み",B195=""),"",H195-TODAY())</f>
        <v/>
      </c>
    </row>
    <row r="196">
      <c r="A196" s="23">
        <f>IF(B196="","",ROW()-10)</f>
        <v/>
      </c>
      <c r="B196" s="25" t="n"/>
      <c r="C196" s="25" t="n"/>
      <c r="D196" s="17">
        <f>IF(C196="","",IFERROR(INDEX('案件台帳'!$B$6:$B$105,MATCH(C196,'案件台帳'!$A$6:$A$105,0)),""))</f>
        <v/>
      </c>
      <c r="E196" s="25" t="n"/>
      <c r="F196" s="45" t="n"/>
      <c r="G196" s="29" t="n"/>
      <c r="H196" s="45" t="n"/>
      <c r="I196" s="33" t="n"/>
      <c r="J196" s="45" t="n"/>
      <c r="K196" s="25" t="n"/>
      <c r="L196" s="51">
        <f>IF(OR(H196="",I196="支払い済み",B196=""),"",H196-TODAY())</f>
        <v/>
      </c>
    </row>
    <row r="197">
      <c r="A197" s="23">
        <f>IF(B197="","",ROW()-10)</f>
        <v/>
      </c>
      <c r="B197" s="25" t="n"/>
      <c r="C197" s="25" t="n"/>
      <c r="D197" s="17">
        <f>IF(C197="","",IFERROR(INDEX('案件台帳'!$B$6:$B$105,MATCH(C197,'案件台帳'!$A$6:$A$105,0)),""))</f>
        <v/>
      </c>
      <c r="E197" s="25" t="n"/>
      <c r="F197" s="45" t="n"/>
      <c r="G197" s="29" t="n"/>
      <c r="H197" s="45" t="n"/>
      <c r="I197" s="33" t="n"/>
      <c r="J197" s="45" t="n"/>
      <c r="K197" s="25" t="n"/>
      <c r="L197" s="51">
        <f>IF(OR(H197="",I197="支払い済み",B197=""),"",H197-TODAY())</f>
        <v/>
      </c>
    </row>
    <row r="198">
      <c r="A198" s="23">
        <f>IF(B198="","",ROW()-10)</f>
        <v/>
      </c>
      <c r="B198" s="25" t="n"/>
      <c r="C198" s="25" t="n"/>
      <c r="D198" s="17">
        <f>IF(C198="","",IFERROR(INDEX('案件台帳'!$B$6:$B$105,MATCH(C198,'案件台帳'!$A$6:$A$105,0)),""))</f>
        <v/>
      </c>
      <c r="E198" s="25" t="n"/>
      <c r="F198" s="45" t="n"/>
      <c r="G198" s="29" t="n"/>
      <c r="H198" s="45" t="n"/>
      <c r="I198" s="33" t="n"/>
      <c r="J198" s="45" t="n"/>
      <c r="K198" s="25" t="n"/>
      <c r="L198" s="51">
        <f>IF(OR(H198="",I198="支払い済み",B198=""),"",H198-TODAY())</f>
        <v/>
      </c>
    </row>
    <row r="199">
      <c r="A199" s="23">
        <f>IF(B199="","",ROW()-10)</f>
        <v/>
      </c>
      <c r="B199" s="25" t="n"/>
      <c r="C199" s="25" t="n"/>
      <c r="D199" s="17">
        <f>IF(C199="","",IFERROR(INDEX('案件台帳'!$B$6:$B$105,MATCH(C199,'案件台帳'!$A$6:$A$105,0)),""))</f>
        <v/>
      </c>
      <c r="E199" s="25" t="n"/>
      <c r="F199" s="45" t="n"/>
      <c r="G199" s="29" t="n"/>
      <c r="H199" s="45" t="n"/>
      <c r="I199" s="33" t="n"/>
      <c r="J199" s="45" t="n"/>
      <c r="K199" s="25" t="n"/>
      <c r="L199" s="51">
        <f>IF(OR(H199="",I199="支払い済み",B199=""),"",H199-TODAY())</f>
        <v/>
      </c>
    </row>
    <row r="200">
      <c r="A200" s="23">
        <f>IF(B200="","",ROW()-10)</f>
        <v/>
      </c>
      <c r="B200" s="25" t="n"/>
      <c r="C200" s="25" t="n"/>
      <c r="D200" s="17">
        <f>IF(C200="","",IFERROR(INDEX('案件台帳'!$B$6:$B$105,MATCH(C200,'案件台帳'!$A$6:$A$105,0)),""))</f>
        <v/>
      </c>
      <c r="E200" s="25" t="n"/>
      <c r="F200" s="45" t="n"/>
      <c r="G200" s="29" t="n"/>
      <c r="H200" s="45" t="n"/>
      <c r="I200" s="33" t="n"/>
      <c r="J200" s="45" t="n"/>
      <c r="K200" s="25" t="n"/>
      <c r="L200" s="51">
        <f>IF(OR(H200="",I200="支払い済み",B200=""),"",H200-TODAY())</f>
        <v/>
      </c>
    </row>
    <row r="201">
      <c r="A201" s="23">
        <f>IF(B201="","",ROW()-10)</f>
        <v/>
      </c>
      <c r="B201" s="25" t="n"/>
      <c r="C201" s="25" t="n"/>
      <c r="D201" s="17">
        <f>IF(C201="","",IFERROR(INDEX('案件台帳'!$B$6:$B$105,MATCH(C201,'案件台帳'!$A$6:$A$105,0)),""))</f>
        <v/>
      </c>
      <c r="E201" s="25" t="n"/>
      <c r="F201" s="45" t="n"/>
      <c r="G201" s="29" t="n"/>
      <c r="H201" s="45" t="n"/>
      <c r="I201" s="33" t="n"/>
      <c r="J201" s="45" t="n"/>
      <c r="K201" s="25" t="n"/>
      <c r="L201" s="51">
        <f>IF(OR(H201="",I201="支払い済み",B201=""),"",H201-TODAY())</f>
        <v/>
      </c>
    </row>
    <row r="202">
      <c r="A202" s="23">
        <f>IF(B202="","",ROW()-10)</f>
        <v/>
      </c>
      <c r="B202" s="25" t="n"/>
      <c r="C202" s="25" t="n"/>
      <c r="D202" s="17">
        <f>IF(C202="","",IFERROR(INDEX('案件台帳'!$B$6:$B$105,MATCH(C202,'案件台帳'!$A$6:$A$105,0)),""))</f>
        <v/>
      </c>
      <c r="E202" s="25" t="n"/>
      <c r="F202" s="45" t="n"/>
      <c r="G202" s="29" t="n"/>
      <c r="H202" s="45" t="n"/>
      <c r="I202" s="33" t="n"/>
      <c r="J202" s="45" t="n"/>
      <c r="K202" s="25" t="n"/>
      <c r="L202" s="51">
        <f>IF(OR(H202="",I202="支払い済み",B202=""),"",H202-TODAY())</f>
        <v/>
      </c>
    </row>
    <row r="203">
      <c r="A203" s="23">
        <f>IF(B203="","",ROW()-10)</f>
        <v/>
      </c>
      <c r="B203" s="25" t="n"/>
      <c r="C203" s="25" t="n"/>
      <c r="D203" s="17">
        <f>IF(C203="","",IFERROR(INDEX('案件台帳'!$B$6:$B$105,MATCH(C203,'案件台帳'!$A$6:$A$105,0)),""))</f>
        <v/>
      </c>
      <c r="E203" s="25" t="n"/>
      <c r="F203" s="45" t="n"/>
      <c r="G203" s="29" t="n"/>
      <c r="H203" s="45" t="n"/>
      <c r="I203" s="33" t="n"/>
      <c r="J203" s="45" t="n"/>
      <c r="K203" s="25" t="n"/>
      <c r="L203" s="51">
        <f>IF(OR(H203="",I203="支払い済み",B203=""),"",H203-TODAY())</f>
        <v/>
      </c>
    </row>
    <row r="204">
      <c r="A204" s="23">
        <f>IF(B204="","",ROW()-10)</f>
        <v/>
      </c>
      <c r="B204" s="25" t="n"/>
      <c r="C204" s="25" t="n"/>
      <c r="D204" s="17">
        <f>IF(C204="","",IFERROR(INDEX('案件台帳'!$B$6:$B$105,MATCH(C204,'案件台帳'!$A$6:$A$105,0)),""))</f>
        <v/>
      </c>
      <c r="E204" s="25" t="n"/>
      <c r="F204" s="45" t="n"/>
      <c r="G204" s="29" t="n"/>
      <c r="H204" s="45" t="n"/>
      <c r="I204" s="33" t="n"/>
      <c r="J204" s="45" t="n"/>
      <c r="K204" s="25" t="n"/>
      <c r="L204" s="51">
        <f>IF(OR(H204="",I204="支払い済み",B204=""),"",H204-TODAY())</f>
        <v/>
      </c>
    </row>
    <row r="205">
      <c r="A205" s="23">
        <f>IF(B205="","",ROW()-10)</f>
        <v/>
      </c>
      <c r="B205" s="25" t="n"/>
      <c r="C205" s="25" t="n"/>
      <c r="D205" s="17">
        <f>IF(C205="","",IFERROR(INDEX('案件台帳'!$B$6:$B$105,MATCH(C205,'案件台帳'!$A$6:$A$105,0)),""))</f>
        <v/>
      </c>
      <c r="E205" s="25" t="n"/>
      <c r="F205" s="45" t="n"/>
      <c r="G205" s="29" t="n"/>
      <c r="H205" s="45" t="n"/>
      <c r="I205" s="33" t="n"/>
      <c r="J205" s="45" t="n"/>
      <c r="K205" s="25" t="n"/>
      <c r="L205" s="51">
        <f>IF(OR(H205="",I205="支払い済み",B205=""),"",H205-TODAY())</f>
        <v/>
      </c>
    </row>
    <row r="206">
      <c r="A206" s="23">
        <f>IF(B206="","",ROW()-10)</f>
        <v/>
      </c>
      <c r="B206" s="25" t="n"/>
      <c r="C206" s="25" t="n"/>
      <c r="D206" s="17">
        <f>IF(C206="","",IFERROR(INDEX('案件台帳'!$B$6:$B$105,MATCH(C206,'案件台帳'!$A$6:$A$105,0)),""))</f>
        <v/>
      </c>
      <c r="E206" s="25" t="n"/>
      <c r="F206" s="45" t="n"/>
      <c r="G206" s="29" t="n"/>
      <c r="H206" s="45" t="n"/>
      <c r="I206" s="33" t="n"/>
      <c r="J206" s="45" t="n"/>
      <c r="K206" s="25" t="n"/>
      <c r="L206" s="51">
        <f>IF(OR(H206="",I206="支払い済み",B206=""),"",H206-TODAY())</f>
        <v/>
      </c>
    </row>
    <row r="207">
      <c r="A207" s="23">
        <f>IF(B207="","",ROW()-10)</f>
        <v/>
      </c>
      <c r="B207" s="25" t="n"/>
      <c r="C207" s="25" t="n"/>
      <c r="D207" s="17">
        <f>IF(C207="","",IFERROR(INDEX('案件台帳'!$B$6:$B$105,MATCH(C207,'案件台帳'!$A$6:$A$105,0)),""))</f>
        <v/>
      </c>
      <c r="E207" s="25" t="n"/>
      <c r="F207" s="45" t="n"/>
      <c r="G207" s="29" t="n"/>
      <c r="H207" s="45" t="n"/>
      <c r="I207" s="33" t="n"/>
      <c r="J207" s="45" t="n"/>
      <c r="K207" s="25" t="n"/>
      <c r="L207" s="51">
        <f>IF(OR(H207="",I207="支払い済み",B207=""),"",H207-TODAY())</f>
        <v/>
      </c>
    </row>
    <row r="208">
      <c r="A208" s="23">
        <f>IF(B208="","",ROW()-10)</f>
        <v/>
      </c>
      <c r="B208" s="25" t="n"/>
      <c r="C208" s="25" t="n"/>
      <c r="D208" s="17">
        <f>IF(C208="","",IFERROR(INDEX('案件台帳'!$B$6:$B$105,MATCH(C208,'案件台帳'!$A$6:$A$105,0)),""))</f>
        <v/>
      </c>
      <c r="E208" s="25" t="n"/>
      <c r="F208" s="45" t="n"/>
      <c r="G208" s="29" t="n"/>
      <c r="H208" s="45" t="n"/>
      <c r="I208" s="33" t="n"/>
      <c r="J208" s="45" t="n"/>
      <c r="K208" s="25" t="n"/>
      <c r="L208" s="51">
        <f>IF(OR(H208="",I208="支払い済み",B208=""),"",H208-TODAY())</f>
        <v/>
      </c>
    </row>
    <row r="209">
      <c r="A209" s="23">
        <f>IF(B209="","",ROW()-10)</f>
        <v/>
      </c>
      <c r="B209" s="25" t="n"/>
      <c r="C209" s="25" t="n"/>
      <c r="D209" s="17">
        <f>IF(C209="","",IFERROR(INDEX('案件台帳'!$B$6:$B$105,MATCH(C209,'案件台帳'!$A$6:$A$105,0)),""))</f>
        <v/>
      </c>
      <c r="E209" s="25" t="n"/>
      <c r="F209" s="45" t="n"/>
      <c r="G209" s="29" t="n"/>
      <c r="H209" s="45" t="n"/>
      <c r="I209" s="33" t="n"/>
      <c r="J209" s="45" t="n"/>
      <c r="K209" s="25" t="n"/>
      <c r="L209" s="51">
        <f>IF(OR(H209="",I209="支払い済み",B209=""),"",H209-TODAY())</f>
        <v/>
      </c>
    </row>
    <row r="210">
      <c r="A210" s="23">
        <f>IF(B210="","",ROW()-10)</f>
        <v/>
      </c>
      <c r="B210" s="25" t="n"/>
      <c r="C210" s="25" t="n"/>
      <c r="D210" s="17">
        <f>IF(C210="","",IFERROR(INDEX('案件台帳'!$B$6:$B$105,MATCH(C210,'案件台帳'!$A$6:$A$105,0)),""))</f>
        <v/>
      </c>
      <c r="E210" s="25" t="n"/>
      <c r="F210" s="45" t="n"/>
      <c r="G210" s="29" t="n"/>
      <c r="H210" s="45" t="n"/>
      <c r="I210" s="33" t="n"/>
      <c r="J210" s="45" t="n"/>
      <c r="K210" s="25" t="n"/>
      <c r="L210" s="51">
        <f>IF(OR(H210="",I210="支払い済み",B210=""),"",H210-TODAY())</f>
        <v/>
      </c>
    </row>
  </sheetData>
  <autoFilter ref="A10:L210"/>
  <conditionalFormatting sqref="A11:L210">
    <cfRule type="expression" priority="1" dxfId="5">
      <formula>$I11="未払い"</formula>
    </cfRule>
    <cfRule type="expression" priority="2" dxfId="6">
      <formula>$I11="問題あり"</formula>
    </cfRule>
    <cfRule type="expression" priority="3" dxfId="1">
      <formula>$I11="支払い済み"</formula>
    </cfRule>
  </conditionalFormatting>
  <conditionalFormatting sqref="H11:H210">
    <cfRule type="expression" priority="4" dxfId="4">
      <formula>AND($H11&lt;&gt;"",$B11&lt;&gt;"",$I11&lt;&gt;"支払い済み",$H11&lt;TODAY())</formula>
    </cfRule>
  </conditionalFormatting>
  <dataValidations count="2">
    <dataValidation sqref="C11:C210" showDropDown="0" showInputMessage="0" showErrorMessage="1" allowBlank="1" error="リストから選んでください" type="list">
      <formula1>'案件台帳'!$A$6:$A$105</formula1>
    </dataValidation>
    <dataValidation sqref="I11:I210" showDropDown="0" showInputMessage="0" showErrorMessage="1" allowBlank="1" error="リストから選んでください" type="list">
      <formula1>'設定'!$E$19:$E$21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I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0" customWidth="1" min="3" max="3"/>
    <col width="24" customWidth="1" min="4" max="4"/>
    <col width="24" customWidth="1" min="5" max="5"/>
    <col width="28" customWidth="1" min="6" max="6"/>
    <col width="15" customWidth="1" min="7" max="7"/>
    <col width="15" customWidth="1" min="8" max="8"/>
    <col width="16" customWidth="1" min="9" max="9"/>
  </cols>
  <sheetData>
    <row r="1">
      <c r="A1" s="11" t="inlineStr">
        <is>
          <t>入出金帳</t>
        </is>
      </c>
    </row>
    <row r="2">
      <c r="A2" s="21" t="inlineStr">
        <is>
          <t>繰越残高</t>
        </is>
      </c>
      <c r="B2" s="19">
        <f>'設定'!$C$15</f>
        <v/>
      </c>
      <c r="C2" s="17" t="n"/>
    </row>
    <row r="3">
      <c r="A3" s="21" t="inlineStr">
        <is>
          <t>合計</t>
        </is>
      </c>
      <c r="F3" s="30" t="inlineStr">
        <is>
          <t>現在の残高 →</t>
        </is>
      </c>
      <c r="G3" s="22">
        <f>SUM(G6:G505)</f>
        <v/>
      </c>
      <c r="H3" s="22">
        <f>SUM(H6:H505)</f>
        <v/>
      </c>
      <c r="I3" s="22">
        <f>'設定'!$C$15+G3-H3</f>
        <v/>
      </c>
    </row>
    <row r="5" ht="30" customHeight="1">
      <c r="A5" s="13" t="inlineStr">
        <is>
          <t>日付</t>
        </is>
      </c>
      <c r="B5" s="13" t="inlineStr">
        <is>
          <t>案件No</t>
        </is>
      </c>
      <c r="C5" s="13" t="inlineStr">
        <is>
          <t>案件名</t>
        </is>
      </c>
      <c r="D5" s="13" t="inlineStr">
        <is>
          <t>科目</t>
        </is>
      </c>
      <c r="E5" s="13" t="inlineStr">
        <is>
          <t>相手先</t>
        </is>
      </c>
      <c r="F5" s="13" t="inlineStr">
        <is>
          <t>摘要</t>
        </is>
      </c>
      <c r="G5" s="13" t="inlineStr">
        <is>
          <t>入金（税込）</t>
        </is>
      </c>
      <c r="H5" s="13" t="inlineStr">
        <is>
          <t>出金（税込）</t>
        </is>
      </c>
      <c r="I5" s="13" t="inlineStr">
        <is>
          <t>残高</t>
        </is>
      </c>
    </row>
    <row r="6">
      <c r="A6" s="45" t="n">
        <v>46280</v>
      </c>
      <c r="B6" s="25" t="n"/>
      <c r="C6" s="17">
        <f>IF(B6="","",IFERROR(INDEX('案件台帳'!$B$6:$B$105,MATCH(B6,'案件台帳'!$A$6:$A$105,0)),""))</f>
        <v/>
      </c>
      <c r="D6" s="25" t="inlineStr">
        <is>
          <t>事務所経費</t>
        </is>
      </c>
      <c r="E6" s="25" t="inlineStr">
        <is>
          <t>サンプル不動産管理</t>
        </is>
      </c>
      <c r="F6" s="25" t="inlineStr">
        <is>
          <t>事務所家賃</t>
        </is>
      </c>
      <c r="G6" s="29" t="n"/>
      <c r="H6" s="29" t="n">
        <v>55000</v>
      </c>
      <c r="I6" s="19">
        <f>IF(COUNT(G6:H6)=0,"",$B$2+SUM(G$6:G6)-SUM(H$6:H6))</f>
        <v/>
      </c>
    </row>
    <row r="7">
      <c r="A7" s="45" t="n">
        <v>46295</v>
      </c>
      <c r="B7" s="25" t="inlineStr">
        <is>
          <t>2609-03</t>
        </is>
      </c>
      <c r="C7" s="17">
        <f>IF(B7="","",IFERROR(INDEX('案件台帳'!$B$6:$B$105,MATCH(B7,'案件台帳'!$A$6:$A$105,0)),""))</f>
        <v/>
      </c>
      <c r="D7" s="25" t="inlineStr">
        <is>
          <t>請負代金入金</t>
        </is>
      </c>
      <c r="E7" s="25" t="inlineStr">
        <is>
          <t>個人（サンプル様）</t>
        </is>
      </c>
      <c r="F7" s="25" t="inlineStr">
        <is>
          <t>屋根防水工事 代金</t>
        </is>
      </c>
      <c r="G7" s="29" t="n">
        <v>1320000</v>
      </c>
      <c r="H7" s="29" t="n"/>
      <c r="I7" s="19">
        <f>IF(COUNT(G7:H7)=0,"",$B$2+SUM(G$6:G7)-SUM(H$6:H7))</f>
        <v/>
      </c>
    </row>
    <row r="8">
      <c r="A8" s="45" t="n">
        <v>46296</v>
      </c>
      <c r="B8" s="25" t="inlineStr">
        <is>
          <t>2610-01</t>
        </is>
      </c>
      <c r="C8" s="17">
        <f>IF(B8="","",IFERROR(INDEX('案件台帳'!$B$6:$B$105,MATCH(B8,'案件台帳'!$A$6:$A$105,0)),""))</f>
        <v/>
      </c>
      <c r="D8" s="25" t="inlineStr">
        <is>
          <t>請負代金入金</t>
        </is>
      </c>
      <c r="E8" s="25" t="inlineStr">
        <is>
          <t>サンプル不動産株式会社</t>
        </is>
      </c>
      <c r="F8" s="25" t="inlineStr">
        <is>
          <t>外壁改修 着手金</t>
        </is>
      </c>
      <c r="G8" s="29" t="n">
        <v>2000000</v>
      </c>
      <c r="H8" s="29" t="n"/>
      <c r="I8" s="19">
        <f>IF(COUNT(G8:H8)=0,"",$B$2+SUM(G$6:G8)-SUM(H$6:H8))</f>
        <v/>
      </c>
    </row>
    <row r="9">
      <c r="A9" s="45" t="n">
        <v>46300</v>
      </c>
      <c r="B9" s="25" t="n"/>
      <c r="C9" s="17">
        <f>IF(B9="","",IFERROR(INDEX('案件台帳'!$B$6:$B$105,MATCH(B9,'案件台帳'!$A$6:$A$105,0)),""))</f>
        <v/>
      </c>
      <c r="D9" s="25" t="inlineStr">
        <is>
          <t>交通費（ETC・ガソリン）</t>
        </is>
      </c>
      <c r="E9" s="25" t="inlineStr">
        <is>
          <t>ETC</t>
        </is>
      </c>
      <c r="F9" s="25" t="inlineStr">
        <is>
          <t>10月前半分</t>
        </is>
      </c>
      <c r="G9" s="29" t="n"/>
      <c r="H9" s="29" t="n">
        <v>12000</v>
      </c>
      <c r="I9" s="19">
        <f>IF(COUNT(G9:H9)=0,"",$B$2+SUM(G$6:G9)-SUM(H$6:H9))</f>
        <v/>
      </c>
    </row>
    <row r="10">
      <c r="A10" s="45" t="n">
        <v>46304</v>
      </c>
      <c r="B10" s="25" t="inlineStr">
        <is>
          <t>2609-03</t>
        </is>
      </c>
      <c r="C10" s="17">
        <f>IF(B10="","",IFERROR(INDEX('案件台帳'!$B$6:$B$105,MATCH(B10,'案件台帳'!$A$6:$A$105,0)),""))</f>
        <v/>
      </c>
      <c r="D10" s="25" t="inlineStr">
        <is>
          <t>外注費</t>
        </is>
      </c>
      <c r="E10" s="25" t="inlineStr">
        <is>
          <t>サンプル板金</t>
        </is>
      </c>
      <c r="F10" s="25" t="inlineStr">
        <is>
          <t>9月分 支払い</t>
        </is>
      </c>
      <c r="G10" s="29" t="n"/>
      <c r="H10" s="29" t="n">
        <v>330000</v>
      </c>
      <c r="I10" s="19">
        <f>IF(COUNT(G10:H10)=0,"",$B$2+SUM(G$6:G10)-SUM(H$6:H10))</f>
        <v/>
      </c>
    </row>
    <row r="11">
      <c r="A11" s="45" t="n">
        <v>46307</v>
      </c>
      <c r="B11" s="25" t="n"/>
      <c r="C11" s="17">
        <f>IF(B11="","",IFERROR(INDEX('案件台帳'!$B$6:$B$105,MATCH(B11,'案件台帳'!$A$6:$A$105,0)),""))</f>
        <v/>
      </c>
      <c r="D11" s="25" t="inlineStr">
        <is>
          <t>消耗品</t>
        </is>
      </c>
      <c r="E11" s="25" t="inlineStr">
        <is>
          <t>ホームセンター</t>
        </is>
      </c>
      <c r="F11" s="25" t="inlineStr">
        <is>
          <t>養生材・工具</t>
        </is>
      </c>
      <c r="G11" s="29" t="n"/>
      <c r="H11" s="29" t="n">
        <v>8600</v>
      </c>
      <c r="I11" s="19">
        <f>IF(COUNT(G11:H11)=0,"",$B$2+SUM(G$6:G11)-SUM(H$6:H11))</f>
        <v/>
      </c>
    </row>
    <row r="12">
      <c r="A12" s="45" t="n"/>
      <c r="B12" s="25" t="n"/>
      <c r="C12" s="17">
        <f>IF(B12="","",IFERROR(INDEX('案件台帳'!$B$6:$B$105,MATCH(B12,'案件台帳'!$A$6:$A$105,0)),""))</f>
        <v/>
      </c>
      <c r="D12" s="25" t="n"/>
      <c r="E12" s="25" t="n"/>
      <c r="F12" s="25" t="n"/>
      <c r="G12" s="29" t="n"/>
      <c r="H12" s="29" t="n"/>
      <c r="I12" s="19">
        <f>IF(COUNT(G12:H12)=0,"",$B$2+SUM(G$6:G12)-SUM(H$6:H12))</f>
        <v/>
      </c>
    </row>
    <row r="13">
      <c r="A13" s="45" t="n"/>
      <c r="B13" s="25" t="n"/>
      <c r="C13" s="17">
        <f>IF(B13="","",IFERROR(INDEX('案件台帳'!$B$6:$B$105,MATCH(B13,'案件台帳'!$A$6:$A$105,0)),""))</f>
        <v/>
      </c>
      <c r="D13" s="25" t="n"/>
      <c r="E13" s="25" t="n"/>
      <c r="F13" s="25" t="n"/>
      <c r="G13" s="29" t="n"/>
      <c r="H13" s="29" t="n"/>
      <c r="I13" s="19">
        <f>IF(COUNT(G13:H13)=0,"",$B$2+SUM(G$6:G13)-SUM(H$6:H13))</f>
        <v/>
      </c>
    </row>
    <row r="14">
      <c r="A14" s="45" t="n"/>
      <c r="B14" s="25" t="n"/>
      <c r="C14" s="17">
        <f>IF(B14="","",IFERROR(INDEX('案件台帳'!$B$6:$B$105,MATCH(B14,'案件台帳'!$A$6:$A$105,0)),""))</f>
        <v/>
      </c>
      <c r="D14" s="25" t="n"/>
      <c r="E14" s="25" t="n"/>
      <c r="F14" s="25" t="n"/>
      <c r="G14" s="29" t="n"/>
      <c r="H14" s="29" t="n"/>
      <c r="I14" s="19">
        <f>IF(COUNT(G14:H14)=0,"",$B$2+SUM(G$6:G14)-SUM(H$6:H14))</f>
        <v/>
      </c>
    </row>
    <row r="15">
      <c r="A15" s="45" t="n"/>
      <c r="B15" s="25" t="n"/>
      <c r="C15" s="17">
        <f>IF(B15="","",IFERROR(INDEX('案件台帳'!$B$6:$B$105,MATCH(B15,'案件台帳'!$A$6:$A$105,0)),""))</f>
        <v/>
      </c>
      <c r="D15" s="25" t="n"/>
      <c r="E15" s="25" t="n"/>
      <c r="F15" s="25" t="n"/>
      <c r="G15" s="29" t="n"/>
      <c r="H15" s="29" t="n"/>
      <c r="I15" s="19">
        <f>IF(COUNT(G15:H15)=0,"",$B$2+SUM(G$6:G15)-SUM(H$6:H15))</f>
        <v/>
      </c>
    </row>
    <row r="16">
      <c r="A16" s="45" t="n"/>
      <c r="B16" s="25" t="n"/>
      <c r="C16" s="17">
        <f>IF(B16="","",IFERROR(INDEX('案件台帳'!$B$6:$B$105,MATCH(B16,'案件台帳'!$A$6:$A$105,0)),""))</f>
        <v/>
      </c>
      <c r="D16" s="25" t="n"/>
      <c r="E16" s="25" t="n"/>
      <c r="F16" s="25" t="n"/>
      <c r="G16" s="29" t="n"/>
      <c r="H16" s="29" t="n"/>
      <c r="I16" s="19">
        <f>IF(COUNT(G16:H16)=0,"",$B$2+SUM(G$6:G16)-SUM(H$6:H16))</f>
        <v/>
      </c>
    </row>
    <row r="17">
      <c r="A17" s="45" t="n"/>
      <c r="B17" s="25" t="n"/>
      <c r="C17" s="17">
        <f>IF(B17="","",IFERROR(INDEX('案件台帳'!$B$6:$B$105,MATCH(B17,'案件台帳'!$A$6:$A$105,0)),""))</f>
        <v/>
      </c>
      <c r="D17" s="25" t="n"/>
      <c r="E17" s="25" t="n"/>
      <c r="F17" s="25" t="n"/>
      <c r="G17" s="29" t="n"/>
      <c r="H17" s="29" t="n"/>
      <c r="I17" s="19">
        <f>IF(COUNT(G17:H17)=0,"",$B$2+SUM(G$6:G17)-SUM(H$6:H17))</f>
        <v/>
      </c>
    </row>
    <row r="18">
      <c r="A18" s="45" t="n"/>
      <c r="B18" s="25" t="n"/>
      <c r="C18" s="17">
        <f>IF(B18="","",IFERROR(INDEX('案件台帳'!$B$6:$B$105,MATCH(B18,'案件台帳'!$A$6:$A$105,0)),""))</f>
        <v/>
      </c>
      <c r="D18" s="25" t="n"/>
      <c r="E18" s="25" t="n"/>
      <c r="F18" s="25" t="n"/>
      <c r="G18" s="29" t="n"/>
      <c r="H18" s="29" t="n"/>
      <c r="I18" s="19">
        <f>IF(COUNT(G18:H18)=0,"",$B$2+SUM(G$6:G18)-SUM(H$6:H18))</f>
        <v/>
      </c>
    </row>
    <row r="19">
      <c r="A19" s="45" t="n"/>
      <c r="B19" s="25" t="n"/>
      <c r="C19" s="17">
        <f>IF(B19="","",IFERROR(INDEX('案件台帳'!$B$6:$B$105,MATCH(B19,'案件台帳'!$A$6:$A$105,0)),""))</f>
        <v/>
      </c>
      <c r="D19" s="25" t="n"/>
      <c r="E19" s="25" t="n"/>
      <c r="F19" s="25" t="n"/>
      <c r="G19" s="29" t="n"/>
      <c r="H19" s="29" t="n"/>
      <c r="I19" s="19">
        <f>IF(COUNT(G19:H19)=0,"",$B$2+SUM(G$6:G19)-SUM(H$6:H19))</f>
        <v/>
      </c>
    </row>
    <row r="20">
      <c r="A20" s="45" t="n"/>
      <c r="B20" s="25" t="n"/>
      <c r="C20" s="17">
        <f>IF(B20="","",IFERROR(INDEX('案件台帳'!$B$6:$B$105,MATCH(B20,'案件台帳'!$A$6:$A$105,0)),""))</f>
        <v/>
      </c>
      <c r="D20" s="25" t="n"/>
      <c r="E20" s="25" t="n"/>
      <c r="F20" s="25" t="n"/>
      <c r="G20" s="29" t="n"/>
      <c r="H20" s="29" t="n"/>
      <c r="I20" s="19">
        <f>IF(COUNT(G20:H20)=0,"",$B$2+SUM(G$6:G20)-SUM(H$6:H20))</f>
        <v/>
      </c>
    </row>
    <row r="21">
      <c r="A21" s="45" t="n"/>
      <c r="B21" s="25" t="n"/>
      <c r="C21" s="17">
        <f>IF(B21="","",IFERROR(INDEX('案件台帳'!$B$6:$B$105,MATCH(B21,'案件台帳'!$A$6:$A$105,0)),""))</f>
        <v/>
      </c>
      <c r="D21" s="25" t="n"/>
      <c r="E21" s="25" t="n"/>
      <c r="F21" s="25" t="n"/>
      <c r="G21" s="29" t="n"/>
      <c r="H21" s="29" t="n"/>
      <c r="I21" s="19">
        <f>IF(COUNT(G21:H21)=0,"",$B$2+SUM(G$6:G21)-SUM(H$6:H21))</f>
        <v/>
      </c>
    </row>
    <row r="22">
      <c r="A22" s="45" t="n"/>
      <c r="B22" s="25" t="n"/>
      <c r="C22" s="17">
        <f>IF(B22="","",IFERROR(INDEX('案件台帳'!$B$6:$B$105,MATCH(B22,'案件台帳'!$A$6:$A$105,0)),""))</f>
        <v/>
      </c>
      <c r="D22" s="25" t="n"/>
      <c r="E22" s="25" t="n"/>
      <c r="F22" s="25" t="n"/>
      <c r="G22" s="29" t="n"/>
      <c r="H22" s="29" t="n"/>
      <c r="I22" s="19">
        <f>IF(COUNT(G22:H22)=0,"",$B$2+SUM(G$6:G22)-SUM(H$6:H22))</f>
        <v/>
      </c>
    </row>
    <row r="23">
      <c r="A23" s="45" t="n"/>
      <c r="B23" s="25" t="n"/>
      <c r="C23" s="17">
        <f>IF(B23="","",IFERROR(INDEX('案件台帳'!$B$6:$B$105,MATCH(B23,'案件台帳'!$A$6:$A$105,0)),""))</f>
        <v/>
      </c>
      <c r="D23" s="25" t="n"/>
      <c r="E23" s="25" t="n"/>
      <c r="F23" s="25" t="n"/>
      <c r="G23" s="29" t="n"/>
      <c r="H23" s="29" t="n"/>
      <c r="I23" s="19">
        <f>IF(COUNT(G23:H23)=0,"",$B$2+SUM(G$6:G23)-SUM(H$6:H23))</f>
        <v/>
      </c>
    </row>
    <row r="24">
      <c r="A24" s="45" t="n"/>
      <c r="B24" s="25" t="n"/>
      <c r="C24" s="17">
        <f>IF(B24="","",IFERROR(INDEX('案件台帳'!$B$6:$B$105,MATCH(B24,'案件台帳'!$A$6:$A$105,0)),""))</f>
        <v/>
      </c>
      <c r="D24" s="25" t="n"/>
      <c r="E24" s="25" t="n"/>
      <c r="F24" s="25" t="n"/>
      <c r="G24" s="29" t="n"/>
      <c r="H24" s="29" t="n"/>
      <c r="I24" s="19">
        <f>IF(COUNT(G24:H24)=0,"",$B$2+SUM(G$6:G24)-SUM(H$6:H24))</f>
        <v/>
      </c>
    </row>
    <row r="25">
      <c r="A25" s="45" t="n"/>
      <c r="B25" s="25" t="n"/>
      <c r="C25" s="17">
        <f>IF(B25="","",IFERROR(INDEX('案件台帳'!$B$6:$B$105,MATCH(B25,'案件台帳'!$A$6:$A$105,0)),""))</f>
        <v/>
      </c>
      <c r="D25" s="25" t="n"/>
      <c r="E25" s="25" t="n"/>
      <c r="F25" s="25" t="n"/>
      <c r="G25" s="29" t="n"/>
      <c r="H25" s="29" t="n"/>
      <c r="I25" s="19">
        <f>IF(COUNT(G25:H25)=0,"",$B$2+SUM(G$6:G25)-SUM(H$6:H25))</f>
        <v/>
      </c>
    </row>
    <row r="26">
      <c r="A26" s="45" t="n"/>
      <c r="B26" s="25" t="n"/>
      <c r="C26" s="17">
        <f>IF(B26="","",IFERROR(INDEX('案件台帳'!$B$6:$B$105,MATCH(B26,'案件台帳'!$A$6:$A$105,0)),""))</f>
        <v/>
      </c>
      <c r="D26" s="25" t="n"/>
      <c r="E26" s="25" t="n"/>
      <c r="F26" s="25" t="n"/>
      <c r="G26" s="29" t="n"/>
      <c r="H26" s="29" t="n"/>
      <c r="I26" s="19">
        <f>IF(COUNT(G26:H26)=0,"",$B$2+SUM(G$6:G26)-SUM(H$6:H26))</f>
        <v/>
      </c>
    </row>
    <row r="27">
      <c r="A27" s="45" t="n"/>
      <c r="B27" s="25" t="n"/>
      <c r="C27" s="17">
        <f>IF(B27="","",IFERROR(INDEX('案件台帳'!$B$6:$B$105,MATCH(B27,'案件台帳'!$A$6:$A$105,0)),""))</f>
        <v/>
      </c>
      <c r="D27" s="25" t="n"/>
      <c r="E27" s="25" t="n"/>
      <c r="F27" s="25" t="n"/>
      <c r="G27" s="29" t="n"/>
      <c r="H27" s="29" t="n"/>
      <c r="I27" s="19">
        <f>IF(COUNT(G27:H27)=0,"",$B$2+SUM(G$6:G27)-SUM(H$6:H27))</f>
        <v/>
      </c>
    </row>
    <row r="28">
      <c r="A28" s="45" t="n"/>
      <c r="B28" s="25" t="n"/>
      <c r="C28" s="17">
        <f>IF(B28="","",IFERROR(INDEX('案件台帳'!$B$6:$B$105,MATCH(B28,'案件台帳'!$A$6:$A$105,0)),""))</f>
        <v/>
      </c>
      <c r="D28" s="25" t="n"/>
      <c r="E28" s="25" t="n"/>
      <c r="F28" s="25" t="n"/>
      <c r="G28" s="29" t="n"/>
      <c r="H28" s="29" t="n"/>
      <c r="I28" s="19">
        <f>IF(COUNT(G28:H28)=0,"",$B$2+SUM(G$6:G28)-SUM(H$6:H28))</f>
        <v/>
      </c>
    </row>
    <row r="29">
      <c r="A29" s="45" t="n"/>
      <c r="B29" s="25" t="n"/>
      <c r="C29" s="17">
        <f>IF(B29="","",IFERROR(INDEX('案件台帳'!$B$6:$B$105,MATCH(B29,'案件台帳'!$A$6:$A$105,0)),""))</f>
        <v/>
      </c>
      <c r="D29" s="25" t="n"/>
      <c r="E29" s="25" t="n"/>
      <c r="F29" s="25" t="n"/>
      <c r="G29" s="29" t="n"/>
      <c r="H29" s="29" t="n"/>
      <c r="I29" s="19">
        <f>IF(COUNT(G29:H29)=0,"",$B$2+SUM(G$6:G29)-SUM(H$6:H29))</f>
        <v/>
      </c>
    </row>
    <row r="30">
      <c r="A30" s="45" t="n"/>
      <c r="B30" s="25" t="n"/>
      <c r="C30" s="17">
        <f>IF(B30="","",IFERROR(INDEX('案件台帳'!$B$6:$B$105,MATCH(B30,'案件台帳'!$A$6:$A$105,0)),""))</f>
        <v/>
      </c>
      <c r="D30" s="25" t="n"/>
      <c r="E30" s="25" t="n"/>
      <c r="F30" s="25" t="n"/>
      <c r="G30" s="29" t="n"/>
      <c r="H30" s="29" t="n"/>
      <c r="I30" s="19">
        <f>IF(COUNT(G30:H30)=0,"",$B$2+SUM(G$6:G30)-SUM(H$6:H30))</f>
        <v/>
      </c>
    </row>
    <row r="31">
      <c r="A31" s="45" t="n"/>
      <c r="B31" s="25" t="n"/>
      <c r="C31" s="17">
        <f>IF(B31="","",IFERROR(INDEX('案件台帳'!$B$6:$B$105,MATCH(B31,'案件台帳'!$A$6:$A$105,0)),""))</f>
        <v/>
      </c>
      <c r="D31" s="25" t="n"/>
      <c r="E31" s="25" t="n"/>
      <c r="F31" s="25" t="n"/>
      <c r="G31" s="29" t="n"/>
      <c r="H31" s="29" t="n"/>
      <c r="I31" s="19">
        <f>IF(COUNT(G31:H31)=0,"",$B$2+SUM(G$6:G31)-SUM(H$6:H31))</f>
        <v/>
      </c>
    </row>
    <row r="32">
      <c r="A32" s="45" t="n"/>
      <c r="B32" s="25" t="n"/>
      <c r="C32" s="17">
        <f>IF(B32="","",IFERROR(INDEX('案件台帳'!$B$6:$B$105,MATCH(B32,'案件台帳'!$A$6:$A$105,0)),""))</f>
        <v/>
      </c>
      <c r="D32" s="25" t="n"/>
      <c r="E32" s="25" t="n"/>
      <c r="F32" s="25" t="n"/>
      <c r="G32" s="29" t="n"/>
      <c r="H32" s="29" t="n"/>
      <c r="I32" s="19">
        <f>IF(COUNT(G32:H32)=0,"",$B$2+SUM(G$6:G32)-SUM(H$6:H32))</f>
        <v/>
      </c>
    </row>
    <row r="33">
      <c r="A33" s="45" t="n"/>
      <c r="B33" s="25" t="n"/>
      <c r="C33" s="17">
        <f>IF(B33="","",IFERROR(INDEX('案件台帳'!$B$6:$B$105,MATCH(B33,'案件台帳'!$A$6:$A$105,0)),""))</f>
        <v/>
      </c>
      <c r="D33" s="25" t="n"/>
      <c r="E33" s="25" t="n"/>
      <c r="F33" s="25" t="n"/>
      <c r="G33" s="29" t="n"/>
      <c r="H33" s="29" t="n"/>
      <c r="I33" s="19">
        <f>IF(COUNT(G33:H33)=0,"",$B$2+SUM(G$6:G33)-SUM(H$6:H33))</f>
        <v/>
      </c>
    </row>
    <row r="34">
      <c r="A34" s="45" t="n"/>
      <c r="B34" s="25" t="n"/>
      <c r="C34" s="17">
        <f>IF(B34="","",IFERROR(INDEX('案件台帳'!$B$6:$B$105,MATCH(B34,'案件台帳'!$A$6:$A$105,0)),""))</f>
        <v/>
      </c>
      <c r="D34" s="25" t="n"/>
      <c r="E34" s="25" t="n"/>
      <c r="F34" s="25" t="n"/>
      <c r="G34" s="29" t="n"/>
      <c r="H34" s="29" t="n"/>
      <c r="I34" s="19">
        <f>IF(COUNT(G34:H34)=0,"",$B$2+SUM(G$6:G34)-SUM(H$6:H34))</f>
        <v/>
      </c>
    </row>
    <row r="35">
      <c r="A35" s="45" t="n"/>
      <c r="B35" s="25" t="n"/>
      <c r="C35" s="17">
        <f>IF(B35="","",IFERROR(INDEX('案件台帳'!$B$6:$B$105,MATCH(B35,'案件台帳'!$A$6:$A$105,0)),""))</f>
        <v/>
      </c>
      <c r="D35" s="25" t="n"/>
      <c r="E35" s="25" t="n"/>
      <c r="F35" s="25" t="n"/>
      <c r="G35" s="29" t="n"/>
      <c r="H35" s="29" t="n"/>
      <c r="I35" s="19">
        <f>IF(COUNT(G35:H35)=0,"",$B$2+SUM(G$6:G35)-SUM(H$6:H35))</f>
        <v/>
      </c>
    </row>
    <row r="36">
      <c r="A36" s="45" t="n"/>
      <c r="B36" s="25" t="n"/>
      <c r="C36" s="17">
        <f>IF(B36="","",IFERROR(INDEX('案件台帳'!$B$6:$B$105,MATCH(B36,'案件台帳'!$A$6:$A$105,0)),""))</f>
        <v/>
      </c>
      <c r="D36" s="25" t="n"/>
      <c r="E36" s="25" t="n"/>
      <c r="F36" s="25" t="n"/>
      <c r="G36" s="29" t="n"/>
      <c r="H36" s="29" t="n"/>
      <c r="I36" s="19">
        <f>IF(COUNT(G36:H36)=0,"",$B$2+SUM(G$6:G36)-SUM(H$6:H36))</f>
        <v/>
      </c>
    </row>
    <row r="37">
      <c r="A37" s="45" t="n"/>
      <c r="B37" s="25" t="n"/>
      <c r="C37" s="17">
        <f>IF(B37="","",IFERROR(INDEX('案件台帳'!$B$6:$B$105,MATCH(B37,'案件台帳'!$A$6:$A$105,0)),""))</f>
        <v/>
      </c>
      <c r="D37" s="25" t="n"/>
      <c r="E37" s="25" t="n"/>
      <c r="F37" s="25" t="n"/>
      <c r="G37" s="29" t="n"/>
      <c r="H37" s="29" t="n"/>
      <c r="I37" s="19">
        <f>IF(COUNT(G37:H37)=0,"",$B$2+SUM(G$6:G37)-SUM(H$6:H37))</f>
        <v/>
      </c>
    </row>
    <row r="38">
      <c r="A38" s="45" t="n"/>
      <c r="B38" s="25" t="n"/>
      <c r="C38" s="17">
        <f>IF(B38="","",IFERROR(INDEX('案件台帳'!$B$6:$B$105,MATCH(B38,'案件台帳'!$A$6:$A$105,0)),""))</f>
        <v/>
      </c>
      <c r="D38" s="25" t="n"/>
      <c r="E38" s="25" t="n"/>
      <c r="F38" s="25" t="n"/>
      <c r="G38" s="29" t="n"/>
      <c r="H38" s="29" t="n"/>
      <c r="I38" s="19">
        <f>IF(COUNT(G38:H38)=0,"",$B$2+SUM(G$6:G38)-SUM(H$6:H38))</f>
        <v/>
      </c>
    </row>
    <row r="39">
      <c r="A39" s="45" t="n"/>
      <c r="B39" s="25" t="n"/>
      <c r="C39" s="17">
        <f>IF(B39="","",IFERROR(INDEX('案件台帳'!$B$6:$B$105,MATCH(B39,'案件台帳'!$A$6:$A$105,0)),""))</f>
        <v/>
      </c>
      <c r="D39" s="25" t="n"/>
      <c r="E39" s="25" t="n"/>
      <c r="F39" s="25" t="n"/>
      <c r="G39" s="29" t="n"/>
      <c r="H39" s="29" t="n"/>
      <c r="I39" s="19">
        <f>IF(COUNT(G39:H39)=0,"",$B$2+SUM(G$6:G39)-SUM(H$6:H39))</f>
        <v/>
      </c>
    </row>
    <row r="40">
      <c r="A40" s="45" t="n"/>
      <c r="B40" s="25" t="n"/>
      <c r="C40" s="17">
        <f>IF(B40="","",IFERROR(INDEX('案件台帳'!$B$6:$B$105,MATCH(B40,'案件台帳'!$A$6:$A$105,0)),""))</f>
        <v/>
      </c>
      <c r="D40" s="25" t="n"/>
      <c r="E40" s="25" t="n"/>
      <c r="F40" s="25" t="n"/>
      <c r="G40" s="29" t="n"/>
      <c r="H40" s="29" t="n"/>
      <c r="I40" s="19">
        <f>IF(COUNT(G40:H40)=0,"",$B$2+SUM(G$6:G40)-SUM(H$6:H40))</f>
        <v/>
      </c>
    </row>
    <row r="41">
      <c r="A41" s="45" t="n"/>
      <c r="B41" s="25" t="n"/>
      <c r="C41" s="17">
        <f>IF(B41="","",IFERROR(INDEX('案件台帳'!$B$6:$B$105,MATCH(B41,'案件台帳'!$A$6:$A$105,0)),""))</f>
        <v/>
      </c>
      <c r="D41" s="25" t="n"/>
      <c r="E41" s="25" t="n"/>
      <c r="F41" s="25" t="n"/>
      <c r="G41" s="29" t="n"/>
      <c r="H41" s="29" t="n"/>
      <c r="I41" s="19">
        <f>IF(COUNT(G41:H41)=0,"",$B$2+SUM(G$6:G41)-SUM(H$6:H41))</f>
        <v/>
      </c>
    </row>
    <row r="42">
      <c r="A42" s="45" t="n"/>
      <c r="B42" s="25" t="n"/>
      <c r="C42" s="17">
        <f>IF(B42="","",IFERROR(INDEX('案件台帳'!$B$6:$B$105,MATCH(B42,'案件台帳'!$A$6:$A$105,0)),""))</f>
        <v/>
      </c>
      <c r="D42" s="25" t="n"/>
      <c r="E42" s="25" t="n"/>
      <c r="F42" s="25" t="n"/>
      <c r="G42" s="29" t="n"/>
      <c r="H42" s="29" t="n"/>
      <c r="I42" s="19">
        <f>IF(COUNT(G42:H42)=0,"",$B$2+SUM(G$6:G42)-SUM(H$6:H42))</f>
        <v/>
      </c>
    </row>
    <row r="43">
      <c r="A43" s="45" t="n"/>
      <c r="B43" s="25" t="n"/>
      <c r="C43" s="17">
        <f>IF(B43="","",IFERROR(INDEX('案件台帳'!$B$6:$B$105,MATCH(B43,'案件台帳'!$A$6:$A$105,0)),""))</f>
        <v/>
      </c>
      <c r="D43" s="25" t="n"/>
      <c r="E43" s="25" t="n"/>
      <c r="F43" s="25" t="n"/>
      <c r="G43" s="29" t="n"/>
      <c r="H43" s="29" t="n"/>
      <c r="I43" s="19">
        <f>IF(COUNT(G43:H43)=0,"",$B$2+SUM(G$6:G43)-SUM(H$6:H43))</f>
        <v/>
      </c>
    </row>
    <row r="44">
      <c r="A44" s="45" t="n"/>
      <c r="B44" s="25" t="n"/>
      <c r="C44" s="17">
        <f>IF(B44="","",IFERROR(INDEX('案件台帳'!$B$6:$B$105,MATCH(B44,'案件台帳'!$A$6:$A$105,0)),""))</f>
        <v/>
      </c>
      <c r="D44" s="25" t="n"/>
      <c r="E44" s="25" t="n"/>
      <c r="F44" s="25" t="n"/>
      <c r="G44" s="29" t="n"/>
      <c r="H44" s="29" t="n"/>
      <c r="I44" s="19">
        <f>IF(COUNT(G44:H44)=0,"",$B$2+SUM(G$6:G44)-SUM(H$6:H44))</f>
        <v/>
      </c>
    </row>
    <row r="45">
      <c r="A45" s="45" t="n"/>
      <c r="B45" s="25" t="n"/>
      <c r="C45" s="17">
        <f>IF(B45="","",IFERROR(INDEX('案件台帳'!$B$6:$B$105,MATCH(B45,'案件台帳'!$A$6:$A$105,0)),""))</f>
        <v/>
      </c>
      <c r="D45" s="25" t="n"/>
      <c r="E45" s="25" t="n"/>
      <c r="F45" s="25" t="n"/>
      <c r="G45" s="29" t="n"/>
      <c r="H45" s="29" t="n"/>
      <c r="I45" s="19">
        <f>IF(COUNT(G45:H45)=0,"",$B$2+SUM(G$6:G45)-SUM(H$6:H45))</f>
        <v/>
      </c>
    </row>
    <row r="46">
      <c r="A46" s="45" t="n"/>
      <c r="B46" s="25" t="n"/>
      <c r="C46" s="17">
        <f>IF(B46="","",IFERROR(INDEX('案件台帳'!$B$6:$B$105,MATCH(B46,'案件台帳'!$A$6:$A$105,0)),""))</f>
        <v/>
      </c>
      <c r="D46" s="25" t="n"/>
      <c r="E46" s="25" t="n"/>
      <c r="F46" s="25" t="n"/>
      <c r="G46" s="29" t="n"/>
      <c r="H46" s="29" t="n"/>
      <c r="I46" s="19">
        <f>IF(COUNT(G46:H46)=0,"",$B$2+SUM(G$6:G46)-SUM(H$6:H46))</f>
        <v/>
      </c>
    </row>
    <row r="47">
      <c r="A47" s="45" t="n"/>
      <c r="B47" s="25" t="n"/>
      <c r="C47" s="17">
        <f>IF(B47="","",IFERROR(INDEX('案件台帳'!$B$6:$B$105,MATCH(B47,'案件台帳'!$A$6:$A$105,0)),""))</f>
        <v/>
      </c>
      <c r="D47" s="25" t="n"/>
      <c r="E47" s="25" t="n"/>
      <c r="F47" s="25" t="n"/>
      <c r="G47" s="29" t="n"/>
      <c r="H47" s="29" t="n"/>
      <c r="I47" s="19">
        <f>IF(COUNT(G47:H47)=0,"",$B$2+SUM(G$6:G47)-SUM(H$6:H47))</f>
        <v/>
      </c>
    </row>
    <row r="48">
      <c r="A48" s="45" t="n"/>
      <c r="B48" s="25" t="n"/>
      <c r="C48" s="17">
        <f>IF(B48="","",IFERROR(INDEX('案件台帳'!$B$6:$B$105,MATCH(B48,'案件台帳'!$A$6:$A$105,0)),""))</f>
        <v/>
      </c>
      <c r="D48" s="25" t="n"/>
      <c r="E48" s="25" t="n"/>
      <c r="F48" s="25" t="n"/>
      <c r="G48" s="29" t="n"/>
      <c r="H48" s="29" t="n"/>
      <c r="I48" s="19">
        <f>IF(COUNT(G48:H48)=0,"",$B$2+SUM(G$6:G48)-SUM(H$6:H48))</f>
        <v/>
      </c>
    </row>
    <row r="49">
      <c r="A49" s="45" t="n"/>
      <c r="B49" s="25" t="n"/>
      <c r="C49" s="17">
        <f>IF(B49="","",IFERROR(INDEX('案件台帳'!$B$6:$B$105,MATCH(B49,'案件台帳'!$A$6:$A$105,0)),""))</f>
        <v/>
      </c>
      <c r="D49" s="25" t="n"/>
      <c r="E49" s="25" t="n"/>
      <c r="F49" s="25" t="n"/>
      <c r="G49" s="29" t="n"/>
      <c r="H49" s="29" t="n"/>
      <c r="I49" s="19">
        <f>IF(COUNT(G49:H49)=0,"",$B$2+SUM(G$6:G49)-SUM(H$6:H49))</f>
        <v/>
      </c>
    </row>
    <row r="50">
      <c r="A50" s="45" t="n"/>
      <c r="B50" s="25" t="n"/>
      <c r="C50" s="17">
        <f>IF(B50="","",IFERROR(INDEX('案件台帳'!$B$6:$B$105,MATCH(B50,'案件台帳'!$A$6:$A$105,0)),""))</f>
        <v/>
      </c>
      <c r="D50" s="25" t="n"/>
      <c r="E50" s="25" t="n"/>
      <c r="F50" s="25" t="n"/>
      <c r="G50" s="29" t="n"/>
      <c r="H50" s="29" t="n"/>
      <c r="I50" s="19">
        <f>IF(COUNT(G50:H50)=0,"",$B$2+SUM(G$6:G50)-SUM(H$6:H50))</f>
        <v/>
      </c>
    </row>
    <row r="51">
      <c r="A51" s="45" t="n"/>
      <c r="B51" s="25" t="n"/>
      <c r="C51" s="17">
        <f>IF(B51="","",IFERROR(INDEX('案件台帳'!$B$6:$B$105,MATCH(B51,'案件台帳'!$A$6:$A$105,0)),""))</f>
        <v/>
      </c>
      <c r="D51" s="25" t="n"/>
      <c r="E51" s="25" t="n"/>
      <c r="F51" s="25" t="n"/>
      <c r="G51" s="29" t="n"/>
      <c r="H51" s="29" t="n"/>
      <c r="I51" s="19">
        <f>IF(COUNT(G51:H51)=0,"",$B$2+SUM(G$6:G51)-SUM(H$6:H51))</f>
        <v/>
      </c>
    </row>
    <row r="52">
      <c r="A52" s="45" t="n"/>
      <c r="B52" s="25" t="n"/>
      <c r="C52" s="17">
        <f>IF(B52="","",IFERROR(INDEX('案件台帳'!$B$6:$B$105,MATCH(B52,'案件台帳'!$A$6:$A$105,0)),""))</f>
        <v/>
      </c>
      <c r="D52" s="25" t="n"/>
      <c r="E52" s="25" t="n"/>
      <c r="F52" s="25" t="n"/>
      <c r="G52" s="29" t="n"/>
      <c r="H52" s="29" t="n"/>
      <c r="I52" s="19">
        <f>IF(COUNT(G52:H52)=0,"",$B$2+SUM(G$6:G52)-SUM(H$6:H52))</f>
        <v/>
      </c>
    </row>
    <row r="53">
      <c r="A53" s="45" t="n"/>
      <c r="B53" s="25" t="n"/>
      <c r="C53" s="17">
        <f>IF(B53="","",IFERROR(INDEX('案件台帳'!$B$6:$B$105,MATCH(B53,'案件台帳'!$A$6:$A$105,0)),""))</f>
        <v/>
      </c>
      <c r="D53" s="25" t="n"/>
      <c r="E53" s="25" t="n"/>
      <c r="F53" s="25" t="n"/>
      <c r="G53" s="29" t="n"/>
      <c r="H53" s="29" t="n"/>
      <c r="I53" s="19">
        <f>IF(COUNT(G53:H53)=0,"",$B$2+SUM(G$6:G53)-SUM(H$6:H53))</f>
        <v/>
      </c>
    </row>
    <row r="54">
      <c r="A54" s="45" t="n"/>
      <c r="B54" s="25" t="n"/>
      <c r="C54" s="17">
        <f>IF(B54="","",IFERROR(INDEX('案件台帳'!$B$6:$B$105,MATCH(B54,'案件台帳'!$A$6:$A$105,0)),""))</f>
        <v/>
      </c>
      <c r="D54" s="25" t="n"/>
      <c r="E54" s="25" t="n"/>
      <c r="F54" s="25" t="n"/>
      <c r="G54" s="29" t="n"/>
      <c r="H54" s="29" t="n"/>
      <c r="I54" s="19">
        <f>IF(COUNT(G54:H54)=0,"",$B$2+SUM(G$6:G54)-SUM(H$6:H54))</f>
        <v/>
      </c>
    </row>
    <row r="55">
      <c r="A55" s="45" t="n"/>
      <c r="B55" s="25" t="n"/>
      <c r="C55" s="17">
        <f>IF(B55="","",IFERROR(INDEX('案件台帳'!$B$6:$B$105,MATCH(B55,'案件台帳'!$A$6:$A$105,0)),""))</f>
        <v/>
      </c>
      <c r="D55" s="25" t="n"/>
      <c r="E55" s="25" t="n"/>
      <c r="F55" s="25" t="n"/>
      <c r="G55" s="29" t="n"/>
      <c r="H55" s="29" t="n"/>
      <c r="I55" s="19">
        <f>IF(COUNT(G55:H55)=0,"",$B$2+SUM(G$6:G55)-SUM(H$6:H55))</f>
        <v/>
      </c>
    </row>
    <row r="56">
      <c r="A56" s="45" t="n"/>
      <c r="B56" s="25" t="n"/>
      <c r="C56" s="17">
        <f>IF(B56="","",IFERROR(INDEX('案件台帳'!$B$6:$B$105,MATCH(B56,'案件台帳'!$A$6:$A$105,0)),""))</f>
        <v/>
      </c>
      <c r="D56" s="25" t="n"/>
      <c r="E56" s="25" t="n"/>
      <c r="F56" s="25" t="n"/>
      <c r="G56" s="29" t="n"/>
      <c r="H56" s="29" t="n"/>
      <c r="I56" s="19">
        <f>IF(COUNT(G56:H56)=0,"",$B$2+SUM(G$6:G56)-SUM(H$6:H56))</f>
        <v/>
      </c>
    </row>
    <row r="57">
      <c r="A57" s="45" t="n"/>
      <c r="B57" s="25" t="n"/>
      <c r="C57" s="17">
        <f>IF(B57="","",IFERROR(INDEX('案件台帳'!$B$6:$B$105,MATCH(B57,'案件台帳'!$A$6:$A$105,0)),""))</f>
        <v/>
      </c>
      <c r="D57" s="25" t="n"/>
      <c r="E57" s="25" t="n"/>
      <c r="F57" s="25" t="n"/>
      <c r="G57" s="29" t="n"/>
      <c r="H57" s="29" t="n"/>
      <c r="I57" s="19">
        <f>IF(COUNT(G57:H57)=0,"",$B$2+SUM(G$6:G57)-SUM(H$6:H57))</f>
        <v/>
      </c>
    </row>
    <row r="58">
      <c r="A58" s="45" t="n"/>
      <c r="B58" s="25" t="n"/>
      <c r="C58" s="17">
        <f>IF(B58="","",IFERROR(INDEX('案件台帳'!$B$6:$B$105,MATCH(B58,'案件台帳'!$A$6:$A$105,0)),""))</f>
        <v/>
      </c>
      <c r="D58" s="25" t="n"/>
      <c r="E58" s="25" t="n"/>
      <c r="F58" s="25" t="n"/>
      <c r="G58" s="29" t="n"/>
      <c r="H58" s="29" t="n"/>
      <c r="I58" s="19">
        <f>IF(COUNT(G58:H58)=0,"",$B$2+SUM(G$6:G58)-SUM(H$6:H58))</f>
        <v/>
      </c>
    </row>
    <row r="59">
      <c r="A59" s="45" t="n"/>
      <c r="B59" s="25" t="n"/>
      <c r="C59" s="17">
        <f>IF(B59="","",IFERROR(INDEX('案件台帳'!$B$6:$B$105,MATCH(B59,'案件台帳'!$A$6:$A$105,0)),""))</f>
        <v/>
      </c>
      <c r="D59" s="25" t="n"/>
      <c r="E59" s="25" t="n"/>
      <c r="F59" s="25" t="n"/>
      <c r="G59" s="29" t="n"/>
      <c r="H59" s="29" t="n"/>
      <c r="I59" s="19">
        <f>IF(COUNT(G59:H59)=0,"",$B$2+SUM(G$6:G59)-SUM(H$6:H59))</f>
        <v/>
      </c>
    </row>
    <row r="60">
      <c r="A60" s="45" t="n"/>
      <c r="B60" s="25" t="n"/>
      <c r="C60" s="17">
        <f>IF(B60="","",IFERROR(INDEX('案件台帳'!$B$6:$B$105,MATCH(B60,'案件台帳'!$A$6:$A$105,0)),""))</f>
        <v/>
      </c>
      <c r="D60" s="25" t="n"/>
      <c r="E60" s="25" t="n"/>
      <c r="F60" s="25" t="n"/>
      <c r="G60" s="29" t="n"/>
      <c r="H60" s="29" t="n"/>
      <c r="I60" s="19">
        <f>IF(COUNT(G60:H60)=0,"",$B$2+SUM(G$6:G60)-SUM(H$6:H60))</f>
        <v/>
      </c>
    </row>
    <row r="61">
      <c r="A61" s="45" t="n"/>
      <c r="B61" s="25" t="n"/>
      <c r="C61" s="17">
        <f>IF(B61="","",IFERROR(INDEX('案件台帳'!$B$6:$B$105,MATCH(B61,'案件台帳'!$A$6:$A$105,0)),""))</f>
        <v/>
      </c>
      <c r="D61" s="25" t="n"/>
      <c r="E61" s="25" t="n"/>
      <c r="F61" s="25" t="n"/>
      <c r="G61" s="29" t="n"/>
      <c r="H61" s="29" t="n"/>
      <c r="I61" s="19">
        <f>IF(COUNT(G61:H61)=0,"",$B$2+SUM(G$6:G61)-SUM(H$6:H61))</f>
        <v/>
      </c>
    </row>
    <row r="62">
      <c r="A62" s="45" t="n"/>
      <c r="B62" s="25" t="n"/>
      <c r="C62" s="17">
        <f>IF(B62="","",IFERROR(INDEX('案件台帳'!$B$6:$B$105,MATCH(B62,'案件台帳'!$A$6:$A$105,0)),""))</f>
        <v/>
      </c>
      <c r="D62" s="25" t="n"/>
      <c r="E62" s="25" t="n"/>
      <c r="F62" s="25" t="n"/>
      <c r="G62" s="29" t="n"/>
      <c r="H62" s="29" t="n"/>
      <c r="I62" s="19">
        <f>IF(COUNT(G62:H62)=0,"",$B$2+SUM(G$6:G62)-SUM(H$6:H62))</f>
        <v/>
      </c>
    </row>
    <row r="63">
      <c r="A63" s="45" t="n"/>
      <c r="B63" s="25" t="n"/>
      <c r="C63" s="17">
        <f>IF(B63="","",IFERROR(INDEX('案件台帳'!$B$6:$B$105,MATCH(B63,'案件台帳'!$A$6:$A$105,0)),""))</f>
        <v/>
      </c>
      <c r="D63" s="25" t="n"/>
      <c r="E63" s="25" t="n"/>
      <c r="F63" s="25" t="n"/>
      <c r="G63" s="29" t="n"/>
      <c r="H63" s="29" t="n"/>
      <c r="I63" s="19">
        <f>IF(COUNT(G63:H63)=0,"",$B$2+SUM(G$6:G63)-SUM(H$6:H63))</f>
        <v/>
      </c>
    </row>
    <row r="64">
      <c r="A64" s="45" t="n"/>
      <c r="B64" s="25" t="n"/>
      <c r="C64" s="17">
        <f>IF(B64="","",IFERROR(INDEX('案件台帳'!$B$6:$B$105,MATCH(B64,'案件台帳'!$A$6:$A$105,0)),""))</f>
        <v/>
      </c>
      <c r="D64" s="25" t="n"/>
      <c r="E64" s="25" t="n"/>
      <c r="F64" s="25" t="n"/>
      <c r="G64" s="29" t="n"/>
      <c r="H64" s="29" t="n"/>
      <c r="I64" s="19">
        <f>IF(COUNT(G64:H64)=0,"",$B$2+SUM(G$6:G64)-SUM(H$6:H64))</f>
        <v/>
      </c>
    </row>
    <row r="65">
      <c r="A65" s="45" t="n"/>
      <c r="B65" s="25" t="n"/>
      <c r="C65" s="17">
        <f>IF(B65="","",IFERROR(INDEX('案件台帳'!$B$6:$B$105,MATCH(B65,'案件台帳'!$A$6:$A$105,0)),""))</f>
        <v/>
      </c>
      <c r="D65" s="25" t="n"/>
      <c r="E65" s="25" t="n"/>
      <c r="F65" s="25" t="n"/>
      <c r="G65" s="29" t="n"/>
      <c r="H65" s="29" t="n"/>
      <c r="I65" s="19">
        <f>IF(COUNT(G65:H65)=0,"",$B$2+SUM(G$6:G65)-SUM(H$6:H65))</f>
        <v/>
      </c>
    </row>
    <row r="66">
      <c r="A66" s="45" t="n"/>
      <c r="B66" s="25" t="n"/>
      <c r="C66" s="17">
        <f>IF(B66="","",IFERROR(INDEX('案件台帳'!$B$6:$B$105,MATCH(B66,'案件台帳'!$A$6:$A$105,0)),""))</f>
        <v/>
      </c>
      <c r="D66" s="25" t="n"/>
      <c r="E66" s="25" t="n"/>
      <c r="F66" s="25" t="n"/>
      <c r="G66" s="29" t="n"/>
      <c r="H66" s="29" t="n"/>
      <c r="I66" s="19">
        <f>IF(COUNT(G66:H66)=0,"",$B$2+SUM(G$6:G66)-SUM(H$6:H66))</f>
        <v/>
      </c>
    </row>
    <row r="67">
      <c r="A67" s="45" t="n"/>
      <c r="B67" s="25" t="n"/>
      <c r="C67" s="17">
        <f>IF(B67="","",IFERROR(INDEX('案件台帳'!$B$6:$B$105,MATCH(B67,'案件台帳'!$A$6:$A$105,0)),""))</f>
        <v/>
      </c>
      <c r="D67" s="25" t="n"/>
      <c r="E67" s="25" t="n"/>
      <c r="F67" s="25" t="n"/>
      <c r="G67" s="29" t="n"/>
      <c r="H67" s="29" t="n"/>
      <c r="I67" s="19">
        <f>IF(COUNT(G67:H67)=0,"",$B$2+SUM(G$6:G67)-SUM(H$6:H67))</f>
        <v/>
      </c>
    </row>
    <row r="68">
      <c r="A68" s="45" t="n"/>
      <c r="B68" s="25" t="n"/>
      <c r="C68" s="17">
        <f>IF(B68="","",IFERROR(INDEX('案件台帳'!$B$6:$B$105,MATCH(B68,'案件台帳'!$A$6:$A$105,0)),""))</f>
        <v/>
      </c>
      <c r="D68" s="25" t="n"/>
      <c r="E68" s="25" t="n"/>
      <c r="F68" s="25" t="n"/>
      <c r="G68" s="29" t="n"/>
      <c r="H68" s="29" t="n"/>
      <c r="I68" s="19">
        <f>IF(COUNT(G68:H68)=0,"",$B$2+SUM(G$6:G68)-SUM(H$6:H68))</f>
        <v/>
      </c>
    </row>
    <row r="69">
      <c r="A69" s="45" t="n"/>
      <c r="B69" s="25" t="n"/>
      <c r="C69" s="17">
        <f>IF(B69="","",IFERROR(INDEX('案件台帳'!$B$6:$B$105,MATCH(B69,'案件台帳'!$A$6:$A$105,0)),""))</f>
        <v/>
      </c>
      <c r="D69" s="25" t="n"/>
      <c r="E69" s="25" t="n"/>
      <c r="F69" s="25" t="n"/>
      <c r="G69" s="29" t="n"/>
      <c r="H69" s="29" t="n"/>
      <c r="I69" s="19">
        <f>IF(COUNT(G69:H69)=0,"",$B$2+SUM(G$6:G69)-SUM(H$6:H69))</f>
        <v/>
      </c>
    </row>
    <row r="70">
      <c r="A70" s="45" t="n"/>
      <c r="B70" s="25" t="n"/>
      <c r="C70" s="17">
        <f>IF(B70="","",IFERROR(INDEX('案件台帳'!$B$6:$B$105,MATCH(B70,'案件台帳'!$A$6:$A$105,0)),""))</f>
        <v/>
      </c>
      <c r="D70" s="25" t="n"/>
      <c r="E70" s="25" t="n"/>
      <c r="F70" s="25" t="n"/>
      <c r="G70" s="29" t="n"/>
      <c r="H70" s="29" t="n"/>
      <c r="I70" s="19">
        <f>IF(COUNT(G70:H70)=0,"",$B$2+SUM(G$6:G70)-SUM(H$6:H70))</f>
        <v/>
      </c>
    </row>
    <row r="71">
      <c r="A71" s="45" t="n"/>
      <c r="B71" s="25" t="n"/>
      <c r="C71" s="17">
        <f>IF(B71="","",IFERROR(INDEX('案件台帳'!$B$6:$B$105,MATCH(B71,'案件台帳'!$A$6:$A$105,0)),""))</f>
        <v/>
      </c>
      <c r="D71" s="25" t="n"/>
      <c r="E71" s="25" t="n"/>
      <c r="F71" s="25" t="n"/>
      <c r="G71" s="29" t="n"/>
      <c r="H71" s="29" t="n"/>
      <c r="I71" s="19">
        <f>IF(COUNT(G71:H71)=0,"",$B$2+SUM(G$6:G71)-SUM(H$6:H71))</f>
        <v/>
      </c>
    </row>
    <row r="72">
      <c r="A72" s="45" t="n"/>
      <c r="B72" s="25" t="n"/>
      <c r="C72" s="17">
        <f>IF(B72="","",IFERROR(INDEX('案件台帳'!$B$6:$B$105,MATCH(B72,'案件台帳'!$A$6:$A$105,0)),""))</f>
        <v/>
      </c>
      <c r="D72" s="25" t="n"/>
      <c r="E72" s="25" t="n"/>
      <c r="F72" s="25" t="n"/>
      <c r="G72" s="29" t="n"/>
      <c r="H72" s="29" t="n"/>
      <c r="I72" s="19">
        <f>IF(COUNT(G72:H72)=0,"",$B$2+SUM(G$6:G72)-SUM(H$6:H72))</f>
        <v/>
      </c>
    </row>
    <row r="73">
      <c r="A73" s="45" t="n"/>
      <c r="B73" s="25" t="n"/>
      <c r="C73" s="17">
        <f>IF(B73="","",IFERROR(INDEX('案件台帳'!$B$6:$B$105,MATCH(B73,'案件台帳'!$A$6:$A$105,0)),""))</f>
        <v/>
      </c>
      <c r="D73" s="25" t="n"/>
      <c r="E73" s="25" t="n"/>
      <c r="F73" s="25" t="n"/>
      <c r="G73" s="29" t="n"/>
      <c r="H73" s="29" t="n"/>
      <c r="I73" s="19">
        <f>IF(COUNT(G73:H73)=0,"",$B$2+SUM(G$6:G73)-SUM(H$6:H73))</f>
        <v/>
      </c>
    </row>
    <row r="74">
      <c r="A74" s="45" t="n"/>
      <c r="B74" s="25" t="n"/>
      <c r="C74" s="17">
        <f>IF(B74="","",IFERROR(INDEX('案件台帳'!$B$6:$B$105,MATCH(B74,'案件台帳'!$A$6:$A$105,0)),""))</f>
        <v/>
      </c>
      <c r="D74" s="25" t="n"/>
      <c r="E74" s="25" t="n"/>
      <c r="F74" s="25" t="n"/>
      <c r="G74" s="29" t="n"/>
      <c r="H74" s="29" t="n"/>
      <c r="I74" s="19">
        <f>IF(COUNT(G74:H74)=0,"",$B$2+SUM(G$6:G74)-SUM(H$6:H74))</f>
        <v/>
      </c>
    </row>
    <row r="75">
      <c r="A75" s="45" t="n"/>
      <c r="B75" s="25" t="n"/>
      <c r="C75" s="17">
        <f>IF(B75="","",IFERROR(INDEX('案件台帳'!$B$6:$B$105,MATCH(B75,'案件台帳'!$A$6:$A$105,0)),""))</f>
        <v/>
      </c>
      <c r="D75" s="25" t="n"/>
      <c r="E75" s="25" t="n"/>
      <c r="F75" s="25" t="n"/>
      <c r="G75" s="29" t="n"/>
      <c r="H75" s="29" t="n"/>
      <c r="I75" s="19">
        <f>IF(COUNT(G75:H75)=0,"",$B$2+SUM(G$6:G75)-SUM(H$6:H75))</f>
        <v/>
      </c>
    </row>
    <row r="76">
      <c r="A76" s="45" t="n"/>
      <c r="B76" s="25" t="n"/>
      <c r="C76" s="17">
        <f>IF(B76="","",IFERROR(INDEX('案件台帳'!$B$6:$B$105,MATCH(B76,'案件台帳'!$A$6:$A$105,0)),""))</f>
        <v/>
      </c>
      <c r="D76" s="25" t="n"/>
      <c r="E76" s="25" t="n"/>
      <c r="F76" s="25" t="n"/>
      <c r="G76" s="29" t="n"/>
      <c r="H76" s="29" t="n"/>
      <c r="I76" s="19">
        <f>IF(COUNT(G76:H76)=0,"",$B$2+SUM(G$6:G76)-SUM(H$6:H76))</f>
        <v/>
      </c>
    </row>
    <row r="77">
      <c r="A77" s="45" t="n"/>
      <c r="B77" s="25" t="n"/>
      <c r="C77" s="17">
        <f>IF(B77="","",IFERROR(INDEX('案件台帳'!$B$6:$B$105,MATCH(B77,'案件台帳'!$A$6:$A$105,0)),""))</f>
        <v/>
      </c>
      <c r="D77" s="25" t="n"/>
      <c r="E77" s="25" t="n"/>
      <c r="F77" s="25" t="n"/>
      <c r="G77" s="29" t="n"/>
      <c r="H77" s="29" t="n"/>
      <c r="I77" s="19">
        <f>IF(COUNT(G77:H77)=0,"",$B$2+SUM(G$6:G77)-SUM(H$6:H77))</f>
        <v/>
      </c>
    </row>
    <row r="78">
      <c r="A78" s="45" t="n"/>
      <c r="B78" s="25" t="n"/>
      <c r="C78" s="17">
        <f>IF(B78="","",IFERROR(INDEX('案件台帳'!$B$6:$B$105,MATCH(B78,'案件台帳'!$A$6:$A$105,0)),""))</f>
        <v/>
      </c>
      <c r="D78" s="25" t="n"/>
      <c r="E78" s="25" t="n"/>
      <c r="F78" s="25" t="n"/>
      <c r="G78" s="29" t="n"/>
      <c r="H78" s="29" t="n"/>
      <c r="I78" s="19">
        <f>IF(COUNT(G78:H78)=0,"",$B$2+SUM(G$6:G78)-SUM(H$6:H78))</f>
        <v/>
      </c>
    </row>
    <row r="79">
      <c r="A79" s="45" t="n"/>
      <c r="B79" s="25" t="n"/>
      <c r="C79" s="17">
        <f>IF(B79="","",IFERROR(INDEX('案件台帳'!$B$6:$B$105,MATCH(B79,'案件台帳'!$A$6:$A$105,0)),""))</f>
        <v/>
      </c>
      <c r="D79" s="25" t="n"/>
      <c r="E79" s="25" t="n"/>
      <c r="F79" s="25" t="n"/>
      <c r="G79" s="29" t="n"/>
      <c r="H79" s="29" t="n"/>
      <c r="I79" s="19">
        <f>IF(COUNT(G79:H79)=0,"",$B$2+SUM(G$6:G79)-SUM(H$6:H79))</f>
        <v/>
      </c>
    </row>
    <row r="80">
      <c r="A80" s="45" t="n"/>
      <c r="B80" s="25" t="n"/>
      <c r="C80" s="17">
        <f>IF(B80="","",IFERROR(INDEX('案件台帳'!$B$6:$B$105,MATCH(B80,'案件台帳'!$A$6:$A$105,0)),""))</f>
        <v/>
      </c>
      <c r="D80" s="25" t="n"/>
      <c r="E80" s="25" t="n"/>
      <c r="F80" s="25" t="n"/>
      <c r="G80" s="29" t="n"/>
      <c r="H80" s="29" t="n"/>
      <c r="I80" s="19">
        <f>IF(COUNT(G80:H80)=0,"",$B$2+SUM(G$6:G80)-SUM(H$6:H80))</f>
        <v/>
      </c>
    </row>
    <row r="81">
      <c r="A81" s="45" t="n"/>
      <c r="B81" s="25" t="n"/>
      <c r="C81" s="17">
        <f>IF(B81="","",IFERROR(INDEX('案件台帳'!$B$6:$B$105,MATCH(B81,'案件台帳'!$A$6:$A$105,0)),""))</f>
        <v/>
      </c>
      <c r="D81" s="25" t="n"/>
      <c r="E81" s="25" t="n"/>
      <c r="F81" s="25" t="n"/>
      <c r="G81" s="29" t="n"/>
      <c r="H81" s="29" t="n"/>
      <c r="I81" s="19">
        <f>IF(COUNT(G81:H81)=0,"",$B$2+SUM(G$6:G81)-SUM(H$6:H81))</f>
        <v/>
      </c>
    </row>
    <row r="82">
      <c r="A82" s="45" t="n"/>
      <c r="B82" s="25" t="n"/>
      <c r="C82" s="17">
        <f>IF(B82="","",IFERROR(INDEX('案件台帳'!$B$6:$B$105,MATCH(B82,'案件台帳'!$A$6:$A$105,0)),""))</f>
        <v/>
      </c>
      <c r="D82" s="25" t="n"/>
      <c r="E82" s="25" t="n"/>
      <c r="F82" s="25" t="n"/>
      <c r="G82" s="29" t="n"/>
      <c r="H82" s="29" t="n"/>
      <c r="I82" s="19">
        <f>IF(COUNT(G82:H82)=0,"",$B$2+SUM(G$6:G82)-SUM(H$6:H82))</f>
        <v/>
      </c>
    </row>
    <row r="83">
      <c r="A83" s="45" t="n"/>
      <c r="B83" s="25" t="n"/>
      <c r="C83" s="17">
        <f>IF(B83="","",IFERROR(INDEX('案件台帳'!$B$6:$B$105,MATCH(B83,'案件台帳'!$A$6:$A$105,0)),""))</f>
        <v/>
      </c>
      <c r="D83" s="25" t="n"/>
      <c r="E83" s="25" t="n"/>
      <c r="F83" s="25" t="n"/>
      <c r="G83" s="29" t="n"/>
      <c r="H83" s="29" t="n"/>
      <c r="I83" s="19">
        <f>IF(COUNT(G83:H83)=0,"",$B$2+SUM(G$6:G83)-SUM(H$6:H83))</f>
        <v/>
      </c>
    </row>
    <row r="84">
      <c r="A84" s="45" t="n"/>
      <c r="B84" s="25" t="n"/>
      <c r="C84" s="17">
        <f>IF(B84="","",IFERROR(INDEX('案件台帳'!$B$6:$B$105,MATCH(B84,'案件台帳'!$A$6:$A$105,0)),""))</f>
        <v/>
      </c>
      <c r="D84" s="25" t="n"/>
      <c r="E84" s="25" t="n"/>
      <c r="F84" s="25" t="n"/>
      <c r="G84" s="29" t="n"/>
      <c r="H84" s="29" t="n"/>
      <c r="I84" s="19">
        <f>IF(COUNT(G84:H84)=0,"",$B$2+SUM(G$6:G84)-SUM(H$6:H84))</f>
        <v/>
      </c>
    </row>
    <row r="85">
      <c r="A85" s="45" t="n"/>
      <c r="B85" s="25" t="n"/>
      <c r="C85" s="17">
        <f>IF(B85="","",IFERROR(INDEX('案件台帳'!$B$6:$B$105,MATCH(B85,'案件台帳'!$A$6:$A$105,0)),""))</f>
        <v/>
      </c>
      <c r="D85" s="25" t="n"/>
      <c r="E85" s="25" t="n"/>
      <c r="F85" s="25" t="n"/>
      <c r="G85" s="29" t="n"/>
      <c r="H85" s="29" t="n"/>
      <c r="I85" s="19">
        <f>IF(COUNT(G85:H85)=0,"",$B$2+SUM(G$6:G85)-SUM(H$6:H85))</f>
        <v/>
      </c>
    </row>
    <row r="86">
      <c r="A86" s="45" t="n"/>
      <c r="B86" s="25" t="n"/>
      <c r="C86" s="17">
        <f>IF(B86="","",IFERROR(INDEX('案件台帳'!$B$6:$B$105,MATCH(B86,'案件台帳'!$A$6:$A$105,0)),""))</f>
        <v/>
      </c>
      <c r="D86" s="25" t="n"/>
      <c r="E86" s="25" t="n"/>
      <c r="F86" s="25" t="n"/>
      <c r="G86" s="29" t="n"/>
      <c r="H86" s="29" t="n"/>
      <c r="I86" s="19">
        <f>IF(COUNT(G86:H86)=0,"",$B$2+SUM(G$6:G86)-SUM(H$6:H86))</f>
        <v/>
      </c>
    </row>
    <row r="87">
      <c r="A87" s="45" t="n"/>
      <c r="B87" s="25" t="n"/>
      <c r="C87" s="17">
        <f>IF(B87="","",IFERROR(INDEX('案件台帳'!$B$6:$B$105,MATCH(B87,'案件台帳'!$A$6:$A$105,0)),""))</f>
        <v/>
      </c>
      <c r="D87" s="25" t="n"/>
      <c r="E87" s="25" t="n"/>
      <c r="F87" s="25" t="n"/>
      <c r="G87" s="29" t="n"/>
      <c r="H87" s="29" t="n"/>
      <c r="I87" s="19">
        <f>IF(COUNT(G87:H87)=0,"",$B$2+SUM(G$6:G87)-SUM(H$6:H87))</f>
        <v/>
      </c>
    </row>
    <row r="88">
      <c r="A88" s="45" t="n"/>
      <c r="B88" s="25" t="n"/>
      <c r="C88" s="17">
        <f>IF(B88="","",IFERROR(INDEX('案件台帳'!$B$6:$B$105,MATCH(B88,'案件台帳'!$A$6:$A$105,0)),""))</f>
        <v/>
      </c>
      <c r="D88" s="25" t="n"/>
      <c r="E88" s="25" t="n"/>
      <c r="F88" s="25" t="n"/>
      <c r="G88" s="29" t="n"/>
      <c r="H88" s="29" t="n"/>
      <c r="I88" s="19">
        <f>IF(COUNT(G88:H88)=0,"",$B$2+SUM(G$6:G88)-SUM(H$6:H88))</f>
        <v/>
      </c>
    </row>
    <row r="89">
      <c r="A89" s="45" t="n"/>
      <c r="B89" s="25" t="n"/>
      <c r="C89" s="17">
        <f>IF(B89="","",IFERROR(INDEX('案件台帳'!$B$6:$B$105,MATCH(B89,'案件台帳'!$A$6:$A$105,0)),""))</f>
        <v/>
      </c>
      <c r="D89" s="25" t="n"/>
      <c r="E89" s="25" t="n"/>
      <c r="F89" s="25" t="n"/>
      <c r="G89" s="29" t="n"/>
      <c r="H89" s="29" t="n"/>
      <c r="I89" s="19">
        <f>IF(COUNT(G89:H89)=0,"",$B$2+SUM(G$6:G89)-SUM(H$6:H89))</f>
        <v/>
      </c>
    </row>
    <row r="90">
      <c r="A90" s="45" t="n"/>
      <c r="B90" s="25" t="n"/>
      <c r="C90" s="17">
        <f>IF(B90="","",IFERROR(INDEX('案件台帳'!$B$6:$B$105,MATCH(B90,'案件台帳'!$A$6:$A$105,0)),""))</f>
        <v/>
      </c>
      <c r="D90" s="25" t="n"/>
      <c r="E90" s="25" t="n"/>
      <c r="F90" s="25" t="n"/>
      <c r="G90" s="29" t="n"/>
      <c r="H90" s="29" t="n"/>
      <c r="I90" s="19">
        <f>IF(COUNT(G90:H90)=0,"",$B$2+SUM(G$6:G90)-SUM(H$6:H90))</f>
        <v/>
      </c>
    </row>
    <row r="91">
      <c r="A91" s="45" t="n"/>
      <c r="B91" s="25" t="n"/>
      <c r="C91" s="17">
        <f>IF(B91="","",IFERROR(INDEX('案件台帳'!$B$6:$B$105,MATCH(B91,'案件台帳'!$A$6:$A$105,0)),""))</f>
        <v/>
      </c>
      <c r="D91" s="25" t="n"/>
      <c r="E91" s="25" t="n"/>
      <c r="F91" s="25" t="n"/>
      <c r="G91" s="29" t="n"/>
      <c r="H91" s="29" t="n"/>
      <c r="I91" s="19">
        <f>IF(COUNT(G91:H91)=0,"",$B$2+SUM(G$6:G91)-SUM(H$6:H91))</f>
        <v/>
      </c>
    </row>
    <row r="92">
      <c r="A92" s="45" t="n"/>
      <c r="B92" s="25" t="n"/>
      <c r="C92" s="17">
        <f>IF(B92="","",IFERROR(INDEX('案件台帳'!$B$6:$B$105,MATCH(B92,'案件台帳'!$A$6:$A$105,0)),""))</f>
        <v/>
      </c>
      <c r="D92" s="25" t="n"/>
      <c r="E92" s="25" t="n"/>
      <c r="F92" s="25" t="n"/>
      <c r="G92" s="29" t="n"/>
      <c r="H92" s="29" t="n"/>
      <c r="I92" s="19">
        <f>IF(COUNT(G92:H92)=0,"",$B$2+SUM(G$6:G92)-SUM(H$6:H92))</f>
        <v/>
      </c>
    </row>
    <row r="93">
      <c r="A93" s="45" t="n"/>
      <c r="B93" s="25" t="n"/>
      <c r="C93" s="17">
        <f>IF(B93="","",IFERROR(INDEX('案件台帳'!$B$6:$B$105,MATCH(B93,'案件台帳'!$A$6:$A$105,0)),""))</f>
        <v/>
      </c>
      <c r="D93" s="25" t="n"/>
      <c r="E93" s="25" t="n"/>
      <c r="F93" s="25" t="n"/>
      <c r="G93" s="29" t="n"/>
      <c r="H93" s="29" t="n"/>
      <c r="I93" s="19">
        <f>IF(COUNT(G93:H93)=0,"",$B$2+SUM(G$6:G93)-SUM(H$6:H93))</f>
        <v/>
      </c>
    </row>
    <row r="94">
      <c r="A94" s="45" t="n"/>
      <c r="B94" s="25" t="n"/>
      <c r="C94" s="17">
        <f>IF(B94="","",IFERROR(INDEX('案件台帳'!$B$6:$B$105,MATCH(B94,'案件台帳'!$A$6:$A$105,0)),""))</f>
        <v/>
      </c>
      <c r="D94" s="25" t="n"/>
      <c r="E94" s="25" t="n"/>
      <c r="F94" s="25" t="n"/>
      <c r="G94" s="29" t="n"/>
      <c r="H94" s="29" t="n"/>
      <c r="I94" s="19">
        <f>IF(COUNT(G94:H94)=0,"",$B$2+SUM(G$6:G94)-SUM(H$6:H94))</f>
        <v/>
      </c>
    </row>
    <row r="95">
      <c r="A95" s="45" t="n"/>
      <c r="B95" s="25" t="n"/>
      <c r="C95" s="17">
        <f>IF(B95="","",IFERROR(INDEX('案件台帳'!$B$6:$B$105,MATCH(B95,'案件台帳'!$A$6:$A$105,0)),""))</f>
        <v/>
      </c>
      <c r="D95" s="25" t="n"/>
      <c r="E95" s="25" t="n"/>
      <c r="F95" s="25" t="n"/>
      <c r="G95" s="29" t="n"/>
      <c r="H95" s="29" t="n"/>
      <c r="I95" s="19">
        <f>IF(COUNT(G95:H95)=0,"",$B$2+SUM(G$6:G95)-SUM(H$6:H95))</f>
        <v/>
      </c>
    </row>
    <row r="96">
      <c r="A96" s="45" t="n"/>
      <c r="B96" s="25" t="n"/>
      <c r="C96" s="17">
        <f>IF(B96="","",IFERROR(INDEX('案件台帳'!$B$6:$B$105,MATCH(B96,'案件台帳'!$A$6:$A$105,0)),""))</f>
        <v/>
      </c>
      <c r="D96" s="25" t="n"/>
      <c r="E96" s="25" t="n"/>
      <c r="F96" s="25" t="n"/>
      <c r="G96" s="29" t="n"/>
      <c r="H96" s="29" t="n"/>
      <c r="I96" s="19">
        <f>IF(COUNT(G96:H96)=0,"",$B$2+SUM(G$6:G96)-SUM(H$6:H96))</f>
        <v/>
      </c>
    </row>
    <row r="97">
      <c r="A97" s="45" t="n"/>
      <c r="B97" s="25" t="n"/>
      <c r="C97" s="17">
        <f>IF(B97="","",IFERROR(INDEX('案件台帳'!$B$6:$B$105,MATCH(B97,'案件台帳'!$A$6:$A$105,0)),""))</f>
        <v/>
      </c>
      <c r="D97" s="25" t="n"/>
      <c r="E97" s="25" t="n"/>
      <c r="F97" s="25" t="n"/>
      <c r="G97" s="29" t="n"/>
      <c r="H97" s="29" t="n"/>
      <c r="I97" s="19">
        <f>IF(COUNT(G97:H97)=0,"",$B$2+SUM(G$6:G97)-SUM(H$6:H97))</f>
        <v/>
      </c>
    </row>
    <row r="98">
      <c r="A98" s="45" t="n"/>
      <c r="B98" s="25" t="n"/>
      <c r="C98" s="17">
        <f>IF(B98="","",IFERROR(INDEX('案件台帳'!$B$6:$B$105,MATCH(B98,'案件台帳'!$A$6:$A$105,0)),""))</f>
        <v/>
      </c>
      <c r="D98" s="25" t="n"/>
      <c r="E98" s="25" t="n"/>
      <c r="F98" s="25" t="n"/>
      <c r="G98" s="29" t="n"/>
      <c r="H98" s="29" t="n"/>
      <c r="I98" s="19">
        <f>IF(COUNT(G98:H98)=0,"",$B$2+SUM(G$6:G98)-SUM(H$6:H98))</f>
        <v/>
      </c>
    </row>
    <row r="99">
      <c r="A99" s="45" t="n"/>
      <c r="B99" s="25" t="n"/>
      <c r="C99" s="17">
        <f>IF(B99="","",IFERROR(INDEX('案件台帳'!$B$6:$B$105,MATCH(B99,'案件台帳'!$A$6:$A$105,0)),""))</f>
        <v/>
      </c>
      <c r="D99" s="25" t="n"/>
      <c r="E99" s="25" t="n"/>
      <c r="F99" s="25" t="n"/>
      <c r="G99" s="29" t="n"/>
      <c r="H99" s="29" t="n"/>
      <c r="I99" s="19">
        <f>IF(COUNT(G99:H99)=0,"",$B$2+SUM(G$6:G99)-SUM(H$6:H99))</f>
        <v/>
      </c>
    </row>
    <row r="100">
      <c r="A100" s="45" t="n"/>
      <c r="B100" s="25" t="n"/>
      <c r="C100" s="17">
        <f>IF(B100="","",IFERROR(INDEX('案件台帳'!$B$6:$B$105,MATCH(B100,'案件台帳'!$A$6:$A$105,0)),""))</f>
        <v/>
      </c>
      <c r="D100" s="25" t="n"/>
      <c r="E100" s="25" t="n"/>
      <c r="F100" s="25" t="n"/>
      <c r="G100" s="29" t="n"/>
      <c r="H100" s="29" t="n"/>
      <c r="I100" s="19">
        <f>IF(COUNT(G100:H100)=0,"",$B$2+SUM(G$6:G100)-SUM(H$6:H100))</f>
        <v/>
      </c>
    </row>
    <row r="101">
      <c r="A101" s="45" t="n"/>
      <c r="B101" s="25" t="n"/>
      <c r="C101" s="17">
        <f>IF(B101="","",IFERROR(INDEX('案件台帳'!$B$6:$B$105,MATCH(B101,'案件台帳'!$A$6:$A$105,0)),""))</f>
        <v/>
      </c>
      <c r="D101" s="25" t="n"/>
      <c r="E101" s="25" t="n"/>
      <c r="F101" s="25" t="n"/>
      <c r="G101" s="29" t="n"/>
      <c r="H101" s="29" t="n"/>
      <c r="I101" s="19">
        <f>IF(COUNT(G101:H101)=0,"",$B$2+SUM(G$6:G101)-SUM(H$6:H101))</f>
        <v/>
      </c>
    </row>
    <row r="102">
      <c r="A102" s="45" t="n"/>
      <c r="B102" s="25" t="n"/>
      <c r="C102" s="17">
        <f>IF(B102="","",IFERROR(INDEX('案件台帳'!$B$6:$B$105,MATCH(B102,'案件台帳'!$A$6:$A$105,0)),""))</f>
        <v/>
      </c>
      <c r="D102" s="25" t="n"/>
      <c r="E102" s="25" t="n"/>
      <c r="F102" s="25" t="n"/>
      <c r="G102" s="29" t="n"/>
      <c r="H102" s="29" t="n"/>
      <c r="I102" s="19">
        <f>IF(COUNT(G102:H102)=0,"",$B$2+SUM(G$6:G102)-SUM(H$6:H102))</f>
        <v/>
      </c>
    </row>
    <row r="103">
      <c r="A103" s="45" t="n"/>
      <c r="B103" s="25" t="n"/>
      <c r="C103" s="17">
        <f>IF(B103="","",IFERROR(INDEX('案件台帳'!$B$6:$B$105,MATCH(B103,'案件台帳'!$A$6:$A$105,0)),""))</f>
        <v/>
      </c>
      <c r="D103" s="25" t="n"/>
      <c r="E103" s="25" t="n"/>
      <c r="F103" s="25" t="n"/>
      <c r="G103" s="29" t="n"/>
      <c r="H103" s="29" t="n"/>
      <c r="I103" s="19">
        <f>IF(COUNT(G103:H103)=0,"",$B$2+SUM(G$6:G103)-SUM(H$6:H103))</f>
        <v/>
      </c>
    </row>
    <row r="104">
      <c r="A104" s="45" t="n"/>
      <c r="B104" s="25" t="n"/>
      <c r="C104" s="17">
        <f>IF(B104="","",IFERROR(INDEX('案件台帳'!$B$6:$B$105,MATCH(B104,'案件台帳'!$A$6:$A$105,0)),""))</f>
        <v/>
      </c>
      <c r="D104" s="25" t="n"/>
      <c r="E104" s="25" t="n"/>
      <c r="F104" s="25" t="n"/>
      <c r="G104" s="29" t="n"/>
      <c r="H104" s="29" t="n"/>
      <c r="I104" s="19">
        <f>IF(COUNT(G104:H104)=0,"",$B$2+SUM(G$6:G104)-SUM(H$6:H104))</f>
        <v/>
      </c>
    </row>
    <row r="105">
      <c r="A105" s="45" t="n"/>
      <c r="B105" s="25" t="n"/>
      <c r="C105" s="17">
        <f>IF(B105="","",IFERROR(INDEX('案件台帳'!$B$6:$B$105,MATCH(B105,'案件台帳'!$A$6:$A$105,0)),""))</f>
        <v/>
      </c>
      <c r="D105" s="25" t="n"/>
      <c r="E105" s="25" t="n"/>
      <c r="F105" s="25" t="n"/>
      <c r="G105" s="29" t="n"/>
      <c r="H105" s="29" t="n"/>
      <c r="I105" s="19">
        <f>IF(COUNT(G105:H105)=0,"",$B$2+SUM(G$6:G105)-SUM(H$6:H105))</f>
        <v/>
      </c>
    </row>
    <row r="106">
      <c r="A106" s="45" t="n"/>
      <c r="B106" s="25" t="n"/>
      <c r="C106" s="17">
        <f>IF(B106="","",IFERROR(INDEX('案件台帳'!$B$6:$B$105,MATCH(B106,'案件台帳'!$A$6:$A$105,0)),""))</f>
        <v/>
      </c>
      <c r="D106" s="25" t="n"/>
      <c r="E106" s="25" t="n"/>
      <c r="F106" s="25" t="n"/>
      <c r="G106" s="29" t="n"/>
      <c r="H106" s="29" t="n"/>
      <c r="I106" s="19">
        <f>IF(COUNT(G106:H106)=0,"",$B$2+SUM(G$6:G106)-SUM(H$6:H106))</f>
        <v/>
      </c>
    </row>
    <row r="107">
      <c r="A107" s="45" t="n"/>
      <c r="B107" s="25" t="n"/>
      <c r="C107" s="17">
        <f>IF(B107="","",IFERROR(INDEX('案件台帳'!$B$6:$B$105,MATCH(B107,'案件台帳'!$A$6:$A$105,0)),""))</f>
        <v/>
      </c>
      <c r="D107" s="25" t="n"/>
      <c r="E107" s="25" t="n"/>
      <c r="F107" s="25" t="n"/>
      <c r="G107" s="29" t="n"/>
      <c r="H107" s="29" t="n"/>
      <c r="I107" s="19">
        <f>IF(COUNT(G107:H107)=0,"",$B$2+SUM(G$6:G107)-SUM(H$6:H107))</f>
        <v/>
      </c>
    </row>
    <row r="108">
      <c r="A108" s="45" t="n"/>
      <c r="B108" s="25" t="n"/>
      <c r="C108" s="17">
        <f>IF(B108="","",IFERROR(INDEX('案件台帳'!$B$6:$B$105,MATCH(B108,'案件台帳'!$A$6:$A$105,0)),""))</f>
        <v/>
      </c>
      <c r="D108" s="25" t="n"/>
      <c r="E108" s="25" t="n"/>
      <c r="F108" s="25" t="n"/>
      <c r="G108" s="29" t="n"/>
      <c r="H108" s="29" t="n"/>
      <c r="I108" s="19">
        <f>IF(COUNT(G108:H108)=0,"",$B$2+SUM(G$6:G108)-SUM(H$6:H108))</f>
        <v/>
      </c>
    </row>
    <row r="109">
      <c r="A109" s="45" t="n"/>
      <c r="B109" s="25" t="n"/>
      <c r="C109" s="17">
        <f>IF(B109="","",IFERROR(INDEX('案件台帳'!$B$6:$B$105,MATCH(B109,'案件台帳'!$A$6:$A$105,0)),""))</f>
        <v/>
      </c>
      <c r="D109" s="25" t="n"/>
      <c r="E109" s="25" t="n"/>
      <c r="F109" s="25" t="n"/>
      <c r="G109" s="29" t="n"/>
      <c r="H109" s="29" t="n"/>
      <c r="I109" s="19">
        <f>IF(COUNT(G109:H109)=0,"",$B$2+SUM(G$6:G109)-SUM(H$6:H109))</f>
        <v/>
      </c>
    </row>
    <row r="110">
      <c r="A110" s="45" t="n"/>
      <c r="B110" s="25" t="n"/>
      <c r="C110" s="17">
        <f>IF(B110="","",IFERROR(INDEX('案件台帳'!$B$6:$B$105,MATCH(B110,'案件台帳'!$A$6:$A$105,0)),""))</f>
        <v/>
      </c>
      <c r="D110" s="25" t="n"/>
      <c r="E110" s="25" t="n"/>
      <c r="F110" s="25" t="n"/>
      <c r="G110" s="29" t="n"/>
      <c r="H110" s="29" t="n"/>
      <c r="I110" s="19">
        <f>IF(COUNT(G110:H110)=0,"",$B$2+SUM(G$6:G110)-SUM(H$6:H110))</f>
        <v/>
      </c>
    </row>
    <row r="111">
      <c r="A111" s="45" t="n"/>
      <c r="B111" s="25" t="n"/>
      <c r="C111" s="17">
        <f>IF(B111="","",IFERROR(INDEX('案件台帳'!$B$6:$B$105,MATCH(B111,'案件台帳'!$A$6:$A$105,0)),""))</f>
        <v/>
      </c>
      <c r="D111" s="25" t="n"/>
      <c r="E111" s="25" t="n"/>
      <c r="F111" s="25" t="n"/>
      <c r="G111" s="29" t="n"/>
      <c r="H111" s="29" t="n"/>
      <c r="I111" s="19">
        <f>IF(COUNT(G111:H111)=0,"",$B$2+SUM(G$6:G111)-SUM(H$6:H111))</f>
        <v/>
      </c>
    </row>
    <row r="112">
      <c r="A112" s="45" t="n"/>
      <c r="B112" s="25" t="n"/>
      <c r="C112" s="17">
        <f>IF(B112="","",IFERROR(INDEX('案件台帳'!$B$6:$B$105,MATCH(B112,'案件台帳'!$A$6:$A$105,0)),""))</f>
        <v/>
      </c>
      <c r="D112" s="25" t="n"/>
      <c r="E112" s="25" t="n"/>
      <c r="F112" s="25" t="n"/>
      <c r="G112" s="29" t="n"/>
      <c r="H112" s="29" t="n"/>
      <c r="I112" s="19">
        <f>IF(COUNT(G112:H112)=0,"",$B$2+SUM(G$6:G112)-SUM(H$6:H112))</f>
        <v/>
      </c>
    </row>
    <row r="113">
      <c r="A113" s="45" t="n"/>
      <c r="B113" s="25" t="n"/>
      <c r="C113" s="17">
        <f>IF(B113="","",IFERROR(INDEX('案件台帳'!$B$6:$B$105,MATCH(B113,'案件台帳'!$A$6:$A$105,0)),""))</f>
        <v/>
      </c>
      <c r="D113" s="25" t="n"/>
      <c r="E113" s="25" t="n"/>
      <c r="F113" s="25" t="n"/>
      <c r="G113" s="29" t="n"/>
      <c r="H113" s="29" t="n"/>
      <c r="I113" s="19">
        <f>IF(COUNT(G113:H113)=0,"",$B$2+SUM(G$6:G113)-SUM(H$6:H113))</f>
        <v/>
      </c>
    </row>
    <row r="114">
      <c r="A114" s="45" t="n"/>
      <c r="B114" s="25" t="n"/>
      <c r="C114" s="17">
        <f>IF(B114="","",IFERROR(INDEX('案件台帳'!$B$6:$B$105,MATCH(B114,'案件台帳'!$A$6:$A$105,0)),""))</f>
        <v/>
      </c>
      <c r="D114" s="25" t="n"/>
      <c r="E114" s="25" t="n"/>
      <c r="F114" s="25" t="n"/>
      <c r="G114" s="29" t="n"/>
      <c r="H114" s="29" t="n"/>
      <c r="I114" s="19">
        <f>IF(COUNT(G114:H114)=0,"",$B$2+SUM(G$6:G114)-SUM(H$6:H114))</f>
        <v/>
      </c>
    </row>
    <row r="115">
      <c r="A115" s="45" t="n"/>
      <c r="B115" s="25" t="n"/>
      <c r="C115" s="17">
        <f>IF(B115="","",IFERROR(INDEX('案件台帳'!$B$6:$B$105,MATCH(B115,'案件台帳'!$A$6:$A$105,0)),""))</f>
        <v/>
      </c>
      <c r="D115" s="25" t="n"/>
      <c r="E115" s="25" t="n"/>
      <c r="F115" s="25" t="n"/>
      <c r="G115" s="29" t="n"/>
      <c r="H115" s="29" t="n"/>
      <c r="I115" s="19">
        <f>IF(COUNT(G115:H115)=0,"",$B$2+SUM(G$6:G115)-SUM(H$6:H115))</f>
        <v/>
      </c>
    </row>
    <row r="116">
      <c r="A116" s="45" t="n"/>
      <c r="B116" s="25" t="n"/>
      <c r="C116" s="17">
        <f>IF(B116="","",IFERROR(INDEX('案件台帳'!$B$6:$B$105,MATCH(B116,'案件台帳'!$A$6:$A$105,0)),""))</f>
        <v/>
      </c>
      <c r="D116" s="25" t="n"/>
      <c r="E116" s="25" t="n"/>
      <c r="F116" s="25" t="n"/>
      <c r="G116" s="29" t="n"/>
      <c r="H116" s="29" t="n"/>
      <c r="I116" s="19">
        <f>IF(COUNT(G116:H116)=0,"",$B$2+SUM(G$6:G116)-SUM(H$6:H116))</f>
        <v/>
      </c>
    </row>
    <row r="117">
      <c r="A117" s="45" t="n"/>
      <c r="B117" s="25" t="n"/>
      <c r="C117" s="17">
        <f>IF(B117="","",IFERROR(INDEX('案件台帳'!$B$6:$B$105,MATCH(B117,'案件台帳'!$A$6:$A$105,0)),""))</f>
        <v/>
      </c>
      <c r="D117" s="25" t="n"/>
      <c r="E117" s="25" t="n"/>
      <c r="F117" s="25" t="n"/>
      <c r="G117" s="29" t="n"/>
      <c r="H117" s="29" t="n"/>
      <c r="I117" s="19">
        <f>IF(COUNT(G117:H117)=0,"",$B$2+SUM(G$6:G117)-SUM(H$6:H117))</f>
        <v/>
      </c>
    </row>
    <row r="118">
      <c r="A118" s="45" t="n"/>
      <c r="B118" s="25" t="n"/>
      <c r="C118" s="17">
        <f>IF(B118="","",IFERROR(INDEX('案件台帳'!$B$6:$B$105,MATCH(B118,'案件台帳'!$A$6:$A$105,0)),""))</f>
        <v/>
      </c>
      <c r="D118" s="25" t="n"/>
      <c r="E118" s="25" t="n"/>
      <c r="F118" s="25" t="n"/>
      <c r="G118" s="29" t="n"/>
      <c r="H118" s="29" t="n"/>
      <c r="I118" s="19">
        <f>IF(COUNT(G118:H118)=0,"",$B$2+SUM(G$6:G118)-SUM(H$6:H118))</f>
        <v/>
      </c>
    </row>
    <row r="119">
      <c r="A119" s="45" t="n"/>
      <c r="B119" s="25" t="n"/>
      <c r="C119" s="17">
        <f>IF(B119="","",IFERROR(INDEX('案件台帳'!$B$6:$B$105,MATCH(B119,'案件台帳'!$A$6:$A$105,0)),""))</f>
        <v/>
      </c>
      <c r="D119" s="25" t="n"/>
      <c r="E119" s="25" t="n"/>
      <c r="F119" s="25" t="n"/>
      <c r="G119" s="29" t="n"/>
      <c r="H119" s="29" t="n"/>
      <c r="I119" s="19">
        <f>IF(COUNT(G119:H119)=0,"",$B$2+SUM(G$6:G119)-SUM(H$6:H119))</f>
        <v/>
      </c>
    </row>
    <row r="120">
      <c r="A120" s="45" t="n"/>
      <c r="B120" s="25" t="n"/>
      <c r="C120" s="17">
        <f>IF(B120="","",IFERROR(INDEX('案件台帳'!$B$6:$B$105,MATCH(B120,'案件台帳'!$A$6:$A$105,0)),""))</f>
        <v/>
      </c>
      <c r="D120" s="25" t="n"/>
      <c r="E120" s="25" t="n"/>
      <c r="F120" s="25" t="n"/>
      <c r="G120" s="29" t="n"/>
      <c r="H120" s="29" t="n"/>
      <c r="I120" s="19">
        <f>IF(COUNT(G120:H120)=0,"",$B$2+SUM(G$6:G120)-SUM(H$6:H120))</f>
        <v/>
      </c>
    </row>
    <row r="121">
      <c r="A121" s="45" t="n"/>
      <c r="B121" s="25" t="n"/>
      <c r="C121" s="17">
        <f>IF(B121="","",IFERROR(INDEX('案件台帳'!$B$6:$B$105,MATCH(B121,'案件台帳'!$A$6:$A$105,0)),""))</f>
        <v/>
      </c>
      <c r="D121" s="25" t="n"/>
      <c r="E121" s="25" t="n"/>
      <c r="F121" s="25" t="n"/>
      <c r="G121" s="29" t="n"/>
      <c r="H121" s="29" t="n"/>
      <c r="I121" s="19">
        <f>IF(COUNT(G121:H121)=0,"",$B$2+SUM(G$6:G121)-SUM(H$6:H121))</f>
        <v/>
      </c>
    </row>
    <row r="122">
      <c r="A122" s="45" t="n"/>
      <c r="B122" s="25" t="n"/>
      <c r="C122" s="17">
        <f>IF(B122="","",IFERROR(INDEX('案件台帳'!$B$6:$B$105,MATCH(B122,'案件台帳'!$A$6:$A$105,0)),""))</f>
        <v/>
      </c>
      <c r="D122" s="25" t="n"/>
      <c r="E122" s="25" t="n"/>
      <c r="F122" s="25" t="n"/>
      <c r="G122" s="29" t="n"/>
      <c r="H122" s="29" t="n"/>
      <c r="I122" s="19">
        <f>IF(COUNT(G122:H122)=0,"",$B$2+SUM(G$6:G122)-SUM(H$6:H122))</f>
        <v/>
      </c>
    </row>
    <row r="123">
      <c r="A123" s="45" t="n"/>
      <c r="B123" s="25" t="n"/>
      <c r="C123" s="17">
        <f>IF(B123="","",IFERROR(INDEX('案件台帳'!$B$6:$B$105,MATCH(B123,'案件台帳'!$A$6:$A$105,0)),""))</f>
        <v/>
      </c>
      <c r="D123" s="25" t="n"/>
      <c r="E123" s="25" t="n"/>
      <c r="F123" s="25" t="n"/>
      <c r="G123" s="29" t="n"/>
      <c r="H123" s="29" t="n"/>
      <c r="I123" s="19">
        <f>IF(COUNT(G123:H123)=0,"",$B$2+SUM(G$6:G123)-SUM(H$6:H123))</f>
        <v/>
      </c>
    </row>
    <row r="124">
      <c r="A124" s="45" t="n"/>
      <c r="B124" s="25" t="n"/>
      <c r="C124" s="17">
        <f>IF(B124="","",IFERROR(INDEX('案件台帳'!$B$6:$B$105,MATCH(B124,'案件台帳'!$A$6:$A$105,0)),""))</f>
        <v/>
      </c>
      <c r="D124" s="25" t="n"/>
      <c r="E124" s="25" t="n"/>
      <c r="F124" s="25" t="n"/>
      <c r="G124" s="29" t="n"/>
      <c r="H124" s="29" t="n"/>
      <c r="I124" s="19">
        <f>IF(COUNT(G124:H124)=0,"",$B$2+SUM(G$6:G124)-SUM(H$6:H124))</f>
        <v/>
      </c>
    </row>
    <row r="125">
      <c r="A125" s="45" t="n"/>
      <c r="B125" s="25" t="n"/>
      <c r="C125" s="17">
        <f>IF(B125="","",IFERROR(INDEX('案件台帳'!$B$6:$B$105,MATCH(B125,'案件台帳'!$A$6:$A$105,0)),""))</f>
        <v/>
      </c>
      <c r="D125" s="25" t="n"/>
      <c r="E125" s="25" t="n"/>
      <c r="F125" s="25" t="n"/>
      <c r="G125" s="29" t="n"/>
      <c r="H125" s="29" t="n"/>
      <c r="I125" s="19">
        <f>IF(COUNT(G125:H125)=0,"",$B$2+SUM(G$6:G125)-SUM(H$6:H125))</f>
        <v/>
      </c>
    </row>
    <row r="126">
      <c r="A126" s="45" t="n"/>
      <c r="B126" s="25" t="n"/>
      <c r="C126" s="17">
        <f>IF(B126="","",IFERROR(INDEX('案件台帳'!$B$6:$B$105,MATCH(B126,'案件台帳'!$A$6:$A$105,0)),""))</f>
        <v/>
      </c>
      <c r="D126" s="25" t="n"/>
      <c r="E126" s="25" t="n"/>
      <c r="F126" s="25" t="n"/>
      <c r="G126" s="29" t="n"/>
      <c r="H126" s="29" t="n"/>
      <c r="I126" s="19">
        <f>IF(COUNT(G126:H126)=0,"",$B$2+SUM(G$6:G126)-SUM(H$6:H126))</f>
        <v/>
      </c>
    </row>
    <row r="127">
      <c r="A127" s="45" t="n"/>
      <c r="B127" s="25" t="n"/>
      <c r="C127" s="17">
        <f>IF(B127="","",IFERROR(INDEX('案件台帳'!$B$6:$B$105,MATCH(B127,'案件台帳'!$A$6:$A$105,0)),""))</f>
        <v/>
      </c>
      <c r="D127" s="25" t="n"/>
      <c r="E127" s="25" t="n"/>
      <c r="F127" s="25" t="n"/>
      <c r="G127" s="29" t="n"/>
      <c r="H127" s="29" t="n"/>
      <c r="I127" s="19">
        <f>IF(COUNT(G127:H127)=0,"",$B$2+SUM(G$6:G127)-SUM(H$6:H127))</f>
        <v/>
      </c>
    </row>
    <row r="128">
      <c r="A128" s="45" t="n"/>
      <c r="B128" s="25" t="n"/>
      <c r="C128" s="17">
        <f>IF(B128="","",IFERROR(INDEX('案件台帳'!$B$6:$B$105,MATCH(B128,'案件台帳'!$A$6:$A$105,0)),""))</f>
        <v/>
      </c>
      <c r="D128" s="25" t="n"/>
      <c r="E128" s="25" t="n"/>
      <c r="F128" s="25" t="n"/>
      <c r="G128" s="29" t="n"/>
      <c r="H128" s="29" t="n"/>
      <c r="I128" s="19">
        <f>IF(COUNT(G128:H128)=0,"",$B$2+SUM(G$6:G128)-SUM(H$6:H128))</f>
        <v/>
      </c>
    </row>
    <row r="129">
      <c r="A129" s="45" t="n"/>
      <c r="B129" s="25" t="n"/>
      <c r="C129" s="17">
        <f>IF(B129="","",IFERROR(INDEX('案件台帳'!$B$6:$B$105,MATCH(B129,'案件台帳'!$A$6:$A$105,0)),""))</f>
        <v/>
      </c>
      <c r="D129" s="25" t="n"/>
      <c r="E129" s="25" t="n"/>
      <c r="F129" s="25" t="n"/>
      <c r="G129" s="29" t="n"/>
      <c r="H129" s="29" t="n"/>
      <c r="I129" s="19">
        <f>IF(COUNT(G129:H129)=0,"",$B$2+SUM(G$6:G129)-SUM(H$6:H129))</f>
        <v/>
      </c>
    </row>
    <row r="130">
      <c r="A130" s="45" t="n"/>
      <c r="B130" s="25" t="n"/>
      <c r="C130" s="17">
        <f>IF(B130="","",IFERROR(INDEX('案件台帳'!$B$6:$B$105,MATCH(B130,'案件台帳'!$A$6:$A$105,0)),""))</f>
        <v/>
      </c>
      <c r="D130" s="25" t="n"/>
      <c r="E130" s="25" t="n"/>
      <c r="F130" s="25" t="n"/>
      <c r="G130" s="29" t="n"/>
      <c r="H130" s="29" t="n"/>
      <c r="I130" s="19">
        <f>IF(COUNT(G130:H130)=0,"",$B$2+SUM(G$6:G130)-SUM(H$6:H130))</f>
        <v/>
      </c>
    </row>
    <row r="131">
      <c r="A131" s="45" t="n"/>
      <c r="B131" s="25" t="n"/>
      <c r="C131" s="17">
        <f>IF(B131="","",IFERROR(INDEX('案件台帳'!$B$6:$B$105,MATCH(B131,'案件台帳'!$A$6:$A$105,0)),""))</f>
        <v/>
      </c>
      <c r="D131" s="25" t="n"/>
      <c r="E131" s="25" t="n"/>
      <c r="F131" s="25" t="n"/>
      <c r="G131" s="29" t="n"/>
      <c r="H131" s="29" t="n"/>
      <c r="I131" s="19">
        <f>IF(COUNT(G131:H131)=0,"",$B$2+SUM(G$6:G131)-SUM(H$6:H131))</f>
        <v/>
      </c>
    </row>
    <row r="132">
      <c r="A132" s="45" t="n"/>
      <c r="B132" s="25" t="n"/>
      <c r="C132" s="17">
        <f>IF(B132="","",IFERROR(INDEX('案件台帳'!$B$6:$B$105,MATCH(B132,'案件台帳'!$A$6:$A$105,0)),""))</f>
        <v/>
      </c>
      <c r="D132" s="25" t="n"/>
      <c r="E132" s="25" t="n"/>
      <c r="F132" s="25" t="n"/>
      <c r="G132" s="29" t="n"/>
      <c r="H132" s="29" t="n"/>
      <c r="I132" s="19">
        <f>IF(COUNT(G132:H132)=0,"",$B$2+SUM(G$6:G132)-SUM(H$6:H132))</f>
        <v/>
      </c>
    </row>
    <row r="133">
      <c r="A133" s="45" t="n"/>
      <c r="B133" s="25" t="n"/>
      <c r="C133" s="17">
        <f>IF(B133="","",IFERROR(INDEX('案件台帳'!$B$6:$B$105,MATCH(B133,'案件台帳'!$A$6:$A$105,0)),""))</f>
        <v/>
      </c>
      <c r="D133" s="25" t="n"/>
      <c r="E133" s="25" t="n"/>
      <c r="F133" s="25" t="n"/>
      <c r="G133" s="29" t="n"/>
      <c r="H133" s="29" t="n"/>
      <c r="I133" s="19">
        <f>IF(COUNT(G133:H133)=0,"",$B$2+SUM(G$6:G133)-SUM(H$6:H133))</f>
        <v/>
      </c>
    </row>
    <row r="134">
      <c r="A134" s="45" t="n"/>
      <c r="B134" s="25" t="n"/>
      <c r="C134" s="17">
        <f>IF(B134="","",IFERROR(INDEX('案件台帳'!$B$6:$B$105,MATCH(B134,'案件台帳'!$A$6:$A$105,0)),""))</f>
        <v/>
      </c>
      <c r="D134" s="25" t="n"/>
      <c r="E134" s="25" t="n"/>
      <c r="F134" s="25" t="n"/>
      <c r="G134" s="29" t="n"/>
      <c r="H134" s="29" t="n"/>
      <c r="I134" s="19">
        <f>IF(COUNT(G134:H134)=0,"",$B$2+SUM(G$6:G134)-SUM(H$6:H134))</f>
        <v/>
      </c>
    </row>
    <row r="135">
      <c r="A135" s="45" t="n"/>
      <c r="B135" s="25" t="n"/>
      <c r="C135" s="17">
        <f>IF(B135="","",IFERROR(INDEX('案件台帳'!$B$6:$B$105,MATCH(B135,'案件台帳'!$A$6:$A$105,0)),""))</f>
        <v/>
      </c>
      <c r="D135" s="25" t="n"/>
      <c r="E135" s="25" t="n"/>
      <c r="F135" s="25" t="n"/>
      <c r="G135" s="29" t="n"/>
      <c r="H135" s="29" t="n"/>
      <c r="I135" s="19">
        <f>IF(COUNT(G135:H135)=0,"",$B$2+SUM(G$6:G135)-SUM(H$6:H135))</f>
        <v/>
      </c>
    </row>
    <row r="136">
      <c r="A136" s="45" t="n"/>
      <c r="B136" s="25" t="n"/>
      <c r="C136" s="17">
        <f>IF(B136="","",IFERROR(INDEX('案件台帳'!$B$6:$B$105,MATCH(B136,'案件台帳'!$A$6:$A$105,0)),""))</f>
        <v/>
      </c>
      <c r="D136" s="25" t="n"/>
      <c r="E136" s="25" t="n"/>
      <c r="F136" s="25" t="n"/>
      <c r="G136" s="29" t="n"/>
      <c r="H136" s="29" t="n"/>
      <c r="I136" s="19">
        <f>IF(COUNT(G136:H136)=0,"",$B$2+SUM(G$6:G136)-SUM(H$6:H136))</f>
        <v/>
      </c>
    </row>
    <row r="137">
      <c r="A137" s="45" t="n"/>
      <c r="B137" s="25" t="n"/>
      <c r="C137" s="17">
        <f>IF(B137="","",IFERROR(INDEX('案件台帳'!$B$6:$B$105,MATCH(B137,'案件台帳'!$A$6:$A$105,0)),""))</f>
        <v/>
      </c>
      <c r="D137" s="25" t="n"/>
      <c r="E137" s="25" t="n"/>
      <c r="F137" s="25" t="n"/>
      <c r="G137" s="29" t="n"/>
      <c r="H137" s="29" t="n"/>
      <c r="I137" s="19">
        <f>IF(COUNT(G137:H137)=0,"",$B$2+SUM(G$6:G137)-SUM(H$6:H137))</f>
        <v/>
      </c>
    </row>
    <row r="138">
      <c r="A138" s="45" t="n"/>
      <c r="B138" s="25" t="n"/>
      <c r="C138" s="17">
        <f>IF(B138="","",IFERROR(INDEX('案件台帳'!$B$6:$B$105,MATCH(B138,'案件台帳'!$A$6:$A$105,0)),""))</f>
        <v/>
      </c>
      <c r="D138" s="25" t="n"/>
      <c r="E138" s="25" t="n"/>
      <c r="F138" s="25" t="n"/>
      <c r="G138" s="29" t="n"/>
      <c r="H138" s="29" t="n"/>
      <c r="I138" s="19">
        <f>IF(COUNT(G138:H138)=0,"",$B$2+SUM(G$6:G138)-SUM(H$6:H138))</f>
        <v/>
      </c>
    </row>
    <row r="139">
      <c r="A139" s="45" t="n"/>
      <c r="B139" s="25" t="n"/>
      <c r="C139" s="17">
        <f>IF(B139="","",IFERROR(INDEX('案件台帳'!$B$6:$B$105,MATCH(B139,'案件台帳'!$A$6:$A$105,0)),""))</f>
        <v/>
      </c>
      <c r="D139" s="25" t="n"/>
      <c r="E139" s="25" t="n"/>
      <c r="F139" s="25" t="n"/>
      <c r="G139" s="29" t="n"/>
      <c r="H139" s="29" t="n"/>
      <c r="I139" s="19">
        <f>IF(COUNT(G139:H139)=0,"",$B$2+SUM(G$6:G139)-SUM(H$6:H139))</f>
        <v/>
      </c>
    </row>
    <row r="140">
      <c r="A140" s="45" t="n"/>
      <c r="B140" s="25" t="n"/>
      <c r="C140" s="17">
        <f>IF(B140="","",IFERROR(INDEX('案件台帳'!$B$6:$B$105,MATCH(B140,'案件台帳'!$A$6:$A$105,0)),""))</f>
        <v/>
      </c>
      <c r="D140" s="25" t="n"/>
      <c r="E140" s="25" t="n"/>
      <c r="F140" s="25" t="n"/>
      <c r="G140" s="29" t="n"/>
      <c r="H140" s="29" t="n"/>
      <c r="I140" s="19">
        <f>IF(COUNT(G140:H140)=0,"",$B$2+SUM(G$6:G140)-SUM(H$6:H140))</f>
        <v/>
      </c>
    </row>
    <row r="141">
      <c r="A141" s="45" t="n"/>
      <c r="B141" s="25" t="n"/>
      <c r="C141" s="17">
        <f>IF(B141="","",IFERROR(INDEX('案件台帳'!$B$6:$B$105,MATCH(B141,'案件台帳'!$A$6:$A$105,0)),""))</f>
        <v/>
      </c>
      <c r="D141" s="25" t="n"/>
      <c r="E141" s="25" t="n"/>
      <c r="F141" s="25" t="n"/>
      <c r="G141" s="29" t="n"/>
      <c r="H141" s="29" t="n"/>
      <c r="I141" s="19">
        <f>IF(COUNT(G141:H141)=0,"",$B$2+SUM(G$6:G141)-SUM(H$6:H141))</f>
        <v/>
      </c>
    </row>
    <row r="142">
      <c r="A142" s="45" t="n"/>
      <c r="B142" s="25" t="n"/>
      <c r="C142" s="17">
        <f>IF(B142="","",IFERROR(INDEX('案件台帳'!$B$6:$B$105,MATCH(B142,'案件台帳'!$A$6:$A$105,0)),""))</f>
        <v/>
      </c>
      <c r="D142" s="25" t="n"/>
      <c r="E142" s="25" t="n"/>
      <c r="F142" s="25" t="n"/>
      <c r="G142" s="29" t="n"/>
      <c r="H142" s="29" t="n"/>
      <c r="I142" s="19">
        <f>IF(COUNT(G142:H142)=0,"",$B$2+SUM(G$6:G142)-SUM(H$6:H142))</f>
        <v/>
      </c>
    </row>
    <row r="143">
      <c r="A143" s="45" t="n"/>
      <c r="B143" s="25" t="n"/>
      <c r="C143" s="17">
        <f>IF(B143="","",IFERROR(INDEX('案件台帳'!$B$6:$B$105,MATCH(B143,'案件台帳'!$A$6:$A$105,0)),""))</f>
        <v/>
      </c>
      <c r="D143" s="25" t="n"/>
      <c r="E143" s="25" t="n"/>
      <c r="F143" s="25" t="n"/>
      <c r="G143" s="29" t="n"/>
      <c r="H143" s="29" t="n"/>
      <c r="I143" s="19">
        <f>IF(COUNT(G143:H143)=0,"",$B$2+SUM(G$6:G143)-SUM(H$6:H143))</f>
        <v/>
      </c>
    </row>
    <row r="144">
      <c r="A144" s="45" t="n"/>
      <c r="B144" s="25" t="n"/>
      <c r="C144" s="17">
        <f>IF(B144="","",IFERROR(INDEX('案件台帳'!$B$6:$B$105,MATCH(B144,'案件台帳'!$A$6:$A$105,0)),""))</f>
        <v/>
      </c>
      <c r="D144" s="25" t="n"/>
      <c r="E144" s="25" t="n"/>
      <c r="F144" s="25" t="n"/>
      <c r="G144" s="29" t="n"/>
      <c r="H144" s="29" t="n"/>
      <c r="I144" s="19">
        <f>IF(COUNT(G144:H144)=0,"",$B$2+SUM(G$6:G144)-SUM(H$6:H144))</f>
        <v/>
      </c>
    </row>
    <row r="145">
      <c r="A145" s="45" t="n"/>
      <c r="B145" s="25" t="n"/>
      <c r="C145" s="17">
        <f>IF(B145="","",IFERROR(INDEX('案件台帳'!$B$6:$B$105,MATCH(B145,'案件台帳'!$A$6:$A$105,0)),""))</f>
        <v/>
      </c>
      <c r="D145" s="25" t="n"/>
      <c r="E145" s="25" t="n"/>
      <c r="F145" s="25" t="n"/>
      <c r="G145" s="29" t="n"/>
      <c r="H145" s="29" t="n"/>
      <c r="I145" s="19">
        <f>IF(COUNT(G145:H145)=0,"",$B$2+SUM(G$6:G145)-SUM(H$6:H145))</f>
        <v/>
      </c>
    </row>
    <row r="146">
      <c r="A146" s="45" t="n"/>
      <c r="B146" s="25" t="n"/>
      <c r="C146" s="17">
        <f>IF(B146="","",IFERROR(INDEX('案件台帳'!$B$6:$B$105,MATCH(B146,'案件台帳'!$A$6:$A$105,0)),""))</f>
        <v/>
      </c>
      <c r="D146" s="25" t="n"/>
      <c r="E146" s="25" t="n"/>
      <c r="F146" s="25" t="n"/>
      <c r="G146" s="29" t="n"/>
      <c r="H146" s="29" t="n"/>
      <c r="I146" s="19">
        <f>IF(COUNT(G146:H146)=0,"",$B$2+SUM(G$6:G146)-SUM(H$6:H146))</f>
        <v/>
      </c>
    </row>
    <row r="147">
      <c r="A147" s="45" t="n"/>
      <c r="B147" s="25" t="n"/>
      <c r="C147" s="17">
        <f>IF(B147="","",IFERROR(INDEX('案件台帳'!$B$6:$B$105,MATCH(B147,'案件台帳'!$A$6:$A$105,0)),""))</f>
        <v/>
      </c>
      <c r="D147" s="25" t="n"/>
      <c r="E147" s="25" t="n"/>
      <c r="F147" s="25" t="n"/>
      <c r="G147" s="29" t="n"/>
      <c r="H147" s="29" t="n"/>
      <c r="I147" s="19">
        <f>IF(COUNT(G147:H147)=0,"",$B$2+SUM(G$6:G147)-SUM(H$6:H147))</f>
        <v/>
      </c>
    </row>
    <row r="148">
      <c r="A148" s="45" t="n"/>
      <c r="B148" s="25" t="n"/>
      <c r="C148" s="17">
        <f>IF(B148="","",IFERROR(INDEX('案件台帳'!$B$6:$B$105,MATCH(B148,'案件台帳'!$A$6:$A$105,0)),""))</f>
        <v/>
      </c>
      <c r="D148" s="25" t="n"/>
      <c r="E148" s="25" t="n"/>
      <c r="F148" s="25" t="n"/>
      <c r="G148" s="29" t="n"/>
      <c r="H148" s="29" t="n"/>
      <c r="I148" s="19">
        <f>IF(COUNT(G148:H148)=0,"",$B$2+SUM(G$6:G148)-SUM(H$6:H148))</f>
        <v/>
      </c>
    </row>
    <row r="149">
      <c r="A149" s="45" t="n"/>
      <c r="B149" s="25" t="n"/>
      <c r="C149" s="17">
        <f>IF(B149="","",IFERROR(INDEX('案件台帳'!$B$6:$B$105,MATCH(B149,'案件台帳'!$A$6:$A$105,0)),""))</f>
        <v/>
      </c>
      <c r="D149" s="25" t="n"/>
      <c r="E149" s="25" t="n"/>
      <c r="F149" s="25" t="n"/>
      <c r="G149" s="29" t="n"/>
      <c r="H149" s="29" t="n"/>
      <c r="I149" s="19">
        <f>IF(COUNT(G149:H149)=0,"",$B$2+SUM(G$6:G149)-SUM(H$6:H149))</f>
        <v/>
      </c>
    </row>
    <row r="150">
      <c r="A150" s="45" t="n"/>
      <c r="B150" s="25" t="n"/>
      <c r="C150" s="17">
        <f>IF(B150="","",IFERROR(INDEX('案件台帳'!$B$6:$B$105,MATCH(B150,'案件台帳'!$A$6:$A$105,0)),""))</f>
        <v/>
      </c>
      <c r="D150" s="25" t="n"/>
      <c r="E150" s="25" t="n"/>
      <c r="F150" s="25" t="n"/>
      <c r="G150" s="29" t="n"/>
      <c r="H150" s="29" t="n"/>
      <c r="I150" s="19">
        <f>IF(COUNT(G150:H150)=0,"",$B$2+SUM(G$6:G150)-SUM(H$6:H150))</f>
        <v/>
      </c>
    </row>
    <row r="151">
      <c r="A151" s="45" t="n"/>
      <c r="B151" s="25" t="n"/>
      <c r="C151" s="17">
        <f>IF(B151="","",IFERROR(INDEX('案件台帳'!$B$6:$B$105,MATCH(B151,'案件台帳'!$A$6:$A$105,0)),""))</f>
        <v/>
      </c>
      <c r="D151" s="25" t="n"/>
      <c r="E151" s="25" t="n"/>
      <c r="F151" s="25" t="n"/>
      <c r="G151" s="29" t="n"/>
      <c r="H151" s="29" t="n"/>
      <c r="I151" s="19">
        <f>IF(COUNT(G151:H151)=0,"",$B$2+SUM(G$6:G151)-SUM(H$6:H151))</f>
        <v/>
      </c>
    </row>
    <row r="152">
      <c r="A152" s="45" t="n"/>
      <c r="B152" s="25" t="n"/>
      <c r="C152" s="17">
        <f>IF(B152="","",IFERROR(INDEX('案件台帳'!$B$6:$B$105,MATCH(B152,'案件台帳'!$A$6:$A$105,0)),""))</f>
        <v/>
      </c>
      <c r="D152" s="25" t="n"/>
      <c r="E152" s="25" t="n"/>
      <c r="F152" s="25" t="n"/>
      <c r="G152" s="29" t="n"/>
      <c r="H152" s="29" t="n"/>
      <c r="I152" s="19">
        <f>IF(COUNT(G152:H152)=0,"",$B$2+SUM(G$6:G152)-SUM(H$6:H152))</f>
        <v/>
      </c>
    </row>
    <row r="153">
      <c r="A153" s="45" t="n"/>
      <c r="B153" s="25" t="n"/>
      <c r="C153" s="17">
        <f>IF(B153="","",IFERROR(INDEX('案件台帳'!$B$6:$B$105,MATCH(B153,'案件台帳'!$A$6:$A$105,0)),""))</f>
        <v/>
      </c>
      <c r="D153" s="25" t="n"/>
      <c r="E153" s="25" t="n"/>
      <c r="F153" s="25" t="n"/>
      <c r="G153" s="29" t="n"/>
      <c r="H153" s="29" t="n"/>
      <c r="I153" s="19">
        <f>IF(COUNT(G153:H153)=0,"",$B$2+SUM(G$6:G153)-SUM(H$6:H153))</f>
        <v/>
      </c>
    </row>
    <row r="154">
      <c r="A154" s="45" t="n"/>
      <c r="B154" s="25" t="n"/>
      <c r="C154" s="17">
        <f>IF(B154="","",IFERROR(INDEX('案件台帳'!$B$6:$B$105,MATCH(B154,'案件台帳'!$A$6:$A$105,0)),""))</f>
        <v/>
      </c>
      <c r="D154" s="25" t="n"/>
      <c r="E154" s="25" t="n"/>
      <c r="F154" s="25" t="n"/>
      <c r="G154" s="29" t="n"/>
      <c r="H154" s="29" t="n"/>
      <c r="I154" s="19">
        <f>IF(COUNT(G154:H154)=0,"",$B$2+SUM(G$6:G154)-SUM(H$6:H154))</f>
        <v/>
      </c>
    </row>
    <row r="155">
      <c r="A155" s="45" t="n"/>
      <c r="B155" s="25" t="n"/>
      <c r="C155" s="17">
        <f>IF(B155="","",IFERROR(INDEX('案件台帳'!$B$6:$B$105,MATCH(B155,'案件台帳'!$A$6:$A$105,0)),""))</f>
        <v/>
      </c>
      <c r="D155" s="25" t="n"/>
      <c r="E155" s="25" t="n"/>
      <c r="F155" s="25" t="n"/>
      <c r="G155" s="29" t="n"/>
      <c r="H155" s="29" t="n"/>
      <c r="I155" s="19">
        <f>IF(COUNT(G155:H155)=0,"",$B$2+SUM(G$6:G155)-SUM(H$6:H155))</f>
        <v/>
      </c>
    </row>
    <row r="156">
      <c r="A156" s="45" t="n"/>
      <c r="B156" s="25" t="n"/>
      <c r="C156" s="17">
        <f>IF(B156="","",IFERROR(INDEX('案件台帳'!$B$6:$B$105,MATCH(B156,'案件台帳'!$A$6:$A$105,0)),""))</f>
        <v/>
      </c>
      <c r="D156" s="25" t="n"/>
      <c r="E156" s="25" t="n"/>
      <c r="F156" s="25" t="n"/>
      <c r="G156" s="29" t="n"/>
      <c r="H156" s="29" t="n"/>
      <c r="I156" s="19">
        <f>IF(COUNT(G156:H156)=0,"",$B$2+SUM(G$6:G156)-SUM(H$6:H156))</f>
        <v/>
      </c>
    </row>
    <row r="157">
      <c r="A157" s="45" t="n"/>
      <c r="B157" s="25" t="n"/>
      <c r="C157" s="17">
        <f>IF(B157="","",IFERROR(INDEX('案件台帳'!$B$6:$B$105,MATCH(B157,'案件台帳'!$A$6:$A$105,0)),""))</f>
        <v/>
      </c>
      <c r="D157" s="25" t="n"/>
      <c r="E157" s="25" t="n"/>
      <c r="F157" s="25" t="n"/>
      <c r="G157" s="29" t="n"/>
      <c r="H157" s="29" t="n"/>
      <c r="I157" s="19">
        <f>IF(COUNT(G157:H157)=0,"",$B$2+SUM(G$6:G157)-SUM(H$6:H157))</f>
        <v/>
      </c>
    </row>
    <row r="158">
      <c r="A158" s="45" t="n"/>
      <c r="B158" s="25" t="n"/>
      <c r="C158" s="17">
        <f>IF(B158="","",IFERROR(INDEX('案件台帳'!$B$6:$B$105,MATCH(B158,'案件台帳'!$A$6:$A$105,0)),""))</f>
        <v/>
      </c>
      <c r="D158" s="25" t="n"/>
      <c r="E158" s="25" t="n"/>
      <c r="F158" s="25" t="n"/>
      <c r="G158" s="29" t="n"/>
      <c r="H158" s="29" t="n"/>
      <c r="I158" s="19">
        <f>IF(COUNT(G158:H158)=0,"",$B$2+SUM(G$6:G158)-SUM(H$6:H158))</f>
        <v/>
      </c>
    </row>
    <row r="159">
      <c r="A159" s="45" t="n"/>
      <c r="B159" s="25" t="n"/>
      <c r="C159" s="17">
        <f>IF(B159="","",IFERROR(INDEX('案件台帳'!$B$6:$B$105,MATCH(B159,'案件台帳'!$A$6:$A$105,0)),""))</f>
        <v/>
      </c>
      <c r="D159" s="25" t="n"/>
      <c r="E159" s="25" t="n"/>
      <c r="F159" s="25" t="n"/>
      <c r="G159" s="29" t="n"/>
      <c r="H159" s="29" t="n"/>
      <c r="I159" s="19">
        <f>IF(COUNT(G159:H159)=0,"",$B$2+SUM(G$6:G159)-SUM(H$6:H159))</f>
        <v/>
      </c>
    </row>
    <row r="160">
      <c r="A160" s="45" t="n"/>
      <c r="B160" s="25" t="n"/>
      <c r="C160" s="17">
        <f>IF(B160="","",IFERROR(INDEX('案件台帳'!$B$6:$B$105,MATCH(B160,'案件台帳'!$A$6:$A$105,0)),""))</f>
        <v/>
      </c>
      <c r="D160" s="25" t="n"/>
      <c r="E160" s="25" t="n"/>
      <c r="F160" s="25" t="n"/>
      <c r="G160" s="29" t="n"/>
      <c r="H160" s="29" t="n"/>
      <c r="I160" s="19">
        <f>IF(COUNT(G160:H160)=0,"",$B$2+SUM(G$6:G160)-SUM(H$6:H160))</f>
        <v/>
      </c>
    </row>
    <row r="161">
      <c r="A161" s="45" t="n"/>
      <c r="B161" s="25" t="n"/>
      <c r="C161" s="17">
        <f>IF(B161="","",IFERROR(INDEX('案件台帳'!$B$6:$B$105,MATCH(B161,'案件台帳'!$A$6:$A$105,0)),""))</f>
        <v/>
      </c>
      <c r="D161" s="25" t="n"/>
      <c r="E161" s="25" t="n"/>
      <c r="F161" s="25" t="n"/>
      <c r="G161" s="29" t="n"/>
      <c r="H161" s="29" t="n"/>
      <c r="I161" s="19">
        <f>IF(COUNT(G161:H161)=0,"",$B$2+SUM(G$6:G161)-SUM(H$6:H161))</f>
        <v/>
      </c>
    </row>
    <row r="162">
      <c r="A162" s="45" t="n"/>
      <c r="B162" s="25" t="n"/>
      <c r="C162" s="17">
        <f>IF(B162="","",IFERROR(INDEX('案件台帳'!$B$6:$B$105,MATCH(B162,'案件台帳'!$A$6:$A$105,0)),""))</f>
        <v/>
      </c>
      <c r="D162" s="25" t="n"/>
      <c r="E162" s="25" t="n"/>
      <c r="F162" s="25" t="n"/>
      <c r="G162" s="29" t="n"/>
      <c r="H162" s="29" t="n"/>
      <c r="I162" s="19">
        <f>IF(COUNT(G162:H162)=0,"",$B$2+SUM(G$6:G162)-SUM(H$6:H162))</f>
        <v/>
      </c>
    </row>
    <row r="163">
      <c r="A163" s="45" t="n"/>
      <c r="B163" s="25" t="n"/>
      <c r="C163" s="17">
        <f>IF(B163="","",IFERROR(INDEX('案件台帳'!$B$6:$B$105,MATCH(B163,'案件台帳'!$A$6:$A$105,0)),""))</f>
        <v/>
      </c>
      <c r="D163" s="25" t="n"/>
      <c r="E163" s="25" t="n"/>
      <c r="F163" s="25" t="n"/>
      <c r="G163" s="29" t="n"/>
      <c r="H163" s="29" t="n"/>
      <c r="I163" s="19">
        <f>IF(COUNT(G163:H163)=0,"",$B$2+SUM(G$6:G163)-SUM(H$6:H163))</f>
        <v/>
      </c>
    </row>
    <row r="164">
      <c r="A164" s="45" t="n"/>
      <c r="B164" s="25" t="n"/>
      <c r="C164" s="17">
        <f>IF(B164="","",IFERROR(INDEX('案件台帳'!$B$6:$B$105,MATCH(B164,'案件台帳'!$A$6:$A$105,0)),""))</f>
        <v/>
      </c>
      <c r="D164" s="25" t="n"/>
      <c r="E164" s="25" t="n"/>
      <c r="F164" s="25" t="n"/>
      <c r="G164" s="29" t="n"/>
      <c r="H164" s="29" t="n"/>
      <c r="I164" s="19">
        <f>IF(COUNT(G164:H164)=0,"",$B$2+SUM(G$6:G164)-SUM(H$6:H164))</f>
        <v/>
      </c>
    </row>
    <row r="165">
      <c r="A165" s="45" t="n"/>
      <c r="B165" s="25" t="n"/>
      <c r="C165" s="17">
        <f>IF(B165="","",IFERROR(INDEX('案件台帳'!$B$6:$B$105,MATCH(B165,'案件台帳'!$A$6:$A$105,0)),""))</f>
        <v/>
      </c>
      <c r="D165" s="25" t="n"/>
      <c r="E165" s="25" t="n"/>
      <c r="F165" s="25" t="n"/>
      <c r="G165" s="29" t="n"/>
      <c r="H165" s="29" t="n"/>
      <c r="I165" s="19">
        <f>IF(COUNT(G165:H165)=0,"",$B$2+SUM(G$6:G165)-SUM(H$6:H165))</f>
        <v/>
      </c>
    </row>
    <row r="166">
      <c r="A166" s="45" t="n"/>
      <c r="B166" s="25" t="n"/>
      <c r="C166" s="17">
        <f>IF(B166="","",IFERROR(INDEX('案件台帳'!$B$6:$B$105,MATCH(B166,'案件台帳'!$A$6:$A$105,0)),""))</f>
        <v/>
      </c>
      <c r="D166" s="25" t="n"/>
      <c r="E166" s="25" t="n"/>
      <c r="F166" s="25" t="n"/>
      <c r="G166" s="29" t="n"/>
      <c r="H166" s="29" t="n"/>
      <c r="I166" s="19">
        <f>IF(COUNT(G166:H166)=0,"",$B$2+SUM(G$6:G166)-SUM(H$6:H166))</f>
        <v/>
      </c>
    </row>
    <row r="167">
      <c r="A167" s="45" t="n"/>
      <c r="B167" s="25" t="n"/>
      <c r="C167" s="17">
        <f>IF(B167="","",IFERROR(INDEX('案件台帳'!$B$6:$B$105,MATCH(B167,'案件台帳'!$A$6:$A$105,0)),""))</f>
        <v/>
      </c>
      <c r="D167" s="25" t="n"/>
      <c r="E167" s="25" t="n"/>
      <c r="F167" s="25" t="n"/>
      <c r="G167" s="29" t="n"/>
      <c r="H167" s="29" t="n"/>
      <c r="I167" s="19">
        <f>IF(COUNT(G167:H167)=0,"",$B$2+SUM(G$6:G167)-SUM(H$6:H167))</f>
        <v/>
      </c>
    </row>
    <row r="168">
      <c r="A168" s="45" t="n"/>
      <c r="B168" s="25" t="n"/>
      <c r="C168" s="17">
        <f>IF(B168="","",IFERROR(INDEX('案件台帳'!$B$6:$B$105,MATCH(B168,'案件台帳'!$A$6:$A$105,0)),""))</f>
        <v/>
      </c>
      <c r="D168" s="25" t="n"/>
      <c r="E168" s="25" t="n"/>
      <c r="F168" s="25" t="n"/>
      <c r="G168" s="29" t="n"/>
      <c r="H168" s="29" t="n"/>
      <c r="I168" s="19">
        <f>IF(COUNT(G168:H168)=0,"",$B$2+SUM(G$6:G168)-SUM(H$6:H168))</f>
        <v/>
      </c>
    </row>
    <row r="169">
      <c r="A169" s="45" t="n"/>
      <c r="B169" s="25" t="n"/>
      <c r="C169" s="17">
        <f>IF(B169="","",IFERROR(INDEX('案件台帳'!$B$6:$B$105,MATCH(B169,'案件台帳'!$A$6:$A$105,0)),""))</f>
        <v/>
      </c>
      <c r="D169" s="25" t="n"/>
      <c r="E169" s="25" t="n"/>
      <c r="F169" s="25" t="n"/>
      <c r="G169" s="29" t="n"/>
      <c r="H169" s="29" t="n"/>
      <c r="I169" s="19">
        <f>IF(COUNT(G169:H169)=0,"",$B$2+SUM(G$6:G169)-SUM(H$6:H169))</f>
        <v/>
      </c>
    </row>
    <row r="170">
      <c r="A170" s="45" t="n"/>
      <c r="B170" s="25" t="n"/>
      <c r="C170" s="17">
        <f>IF(B170="","",IFERROR(INDEX('案件台帳'!$B$6:$B$105,MATCH(B170,'案件台帳'!$A$6:$A$105,0)),""))</f>
        <v/>
      </c>
      <c r="D170" s="25" t="n"/>
      <c r="E170" s="25" t="n"/>
      <c r="F170" s="25" t="n"/>
      <c r="G170" s="29" t="n"/>
      <c r="H170" s="29" t="n"/>
      <c r="I170" s="19">
        <f>IF(COUNT(G170:H170)=0,"",$B$2+SUM(G$6:G170)-SUM(H$6:H170))</f>
        <v/>
      </c>
    </row>
    <row r="171">
      <c r="A171" s="45" t="n"/>
      <c r="B171" s="25" t="n"/>
      <c r="C171" s="17">
        <f>IF(B171="","",IFERROR(INDEX('案件台帳'!$B$6:$B$105,MATCH(B171,'案件台帳'!$A$6:$A$105,0)),""))</f>
        <v/>
      </c>
      <c r="D171" s="25" t="n"/>
      <c r="E171" s="25" t="n"/>
      <c r="F171" s="25" t="n"/>
      <c r="G171" s="29" t="n"/>
      <c r="H171" s="29" t="n"/>
      <c r="I171" s="19">
        <f>IF(COUNT(G171:H171)=0,"",$B$2+SUM(G$6:G171)-SUM(H$6:H171))</f>
        <v/>
      </c>
    </row>
    <row r="172">
      <c r="A172" s="45" t="n"/>
      <c r="B172" s="25" t="n"/>
      <c r="C172" s="17">
        <f>IF(B172="","",IFERROR(INDEX('案件台帳'!$B$6:$B$105,MATCH(B172,'案件台帳'!$A$6:$A$105,0)),""))</f>
        <v/>
      </c>
      <c r="D172" s="25" t="n"/>
      <c r="E172" s="25" t="n"/>
      <c r="F172" s="25" t="n"/>
      <c r="G172" s="29" t="n"/>
      <c r="H172" s="29" t="n"/>
      <c r="I172" s="19">
        <f>IF(COUNT(G172:H172)=0,"",$B$2+SUM(G$6:G172)-SUM(H$6:H172))</f>
        <v/>
      </c>
    </row>
    <row r="173">
      <c r="A173" s="45" t="n"/>
      <c r="B173" s="25" t="n"/>
      <c r="C173" s="17">
        <f>IF(B173="","",IFERROR(INDEX('案件台帳'!$B$6:$B$105,MATCH(B173,'案件台帳'!$A$6:$A$105,0)),""))</f>
        <v/>
      </c>
      <c r="D173" s="25" t="n"/>
      <c r="E173" s="25" t="n"/>
      <c r="F173" s="25" t="n"/>
      <c r="G173" s="29" t="n"/>
      <c r="H173" s="29" t="n"/>
      <c r="I173" s="19">
        <f>IF(COUNT(G173:H173)=0,"",$B$2+SUM(G$6:G173)-SUM(H$6:H173))</f>
        <v/>
      </c>
    </row>
    <row r="174">
      <c r="A174" s="45" t="n"/>
      <c r="B174" s="25" t="n"/>
      <c r="C174" s="17">
        <f>IF(B174="","",IFERROR(INDEX('案件台帳'!$B$6:$B$105,MATCH(B174,'案件台帳'!$A$6:$A$105,0)),""))</f>
        <v/>
      </c>
      <c r="D174" s="25" t="n"/>
      <c r="E174" s="25" t="n"/>
      <c r="F174" s="25" t="n"/>
      <c r="G174" s="29" t="n"/>
      <c r="H174" s="29" t="n"/>
      <c r="I174" s="19">
        <f>IF(COUNT(G174:H174)=0,"",$B$2+SUM(G$6:G174)-SUM(H$6:H174))</f>
        <v/>
      </c>
    </row>
    <row r="175">
      <c r="A175" s="45" t="n"/>
      <c r="B175" s="25" t="n"/>
      <c r="C175" s="17">
        <f>IF(B175="","",IFERROR(INDEX('案件台帳'!$B$6:$B$105,MATCH(B175,'案件台帳'!$A$6:$A$105,0)),""))</f>
        <v/>
      </c>
      <c r="D175" s="25" t="n"/>
      <c r="E175" s="25" t="n"/>
      <c r="F175" s="25" t="n"/>
      <c r="G175" s="29" t="n"/>
      <c r="H175" s="29" t="n"/>
      <c r="I175" s="19">
        <f>IF(COUNT(G175:H175)=0,"",$B$2+SUM(G$6:G175)-SUM(H$6:H175))</f>
        <v/>
      </c>
    </row>
    <row r="176">
      <c r="A176" s="45" t="n"/>
      <c r="B176" s="25" t="n"/>
      <c r="C176" s="17">
        <f>IF(B176="","",IFERROR(INDEX('案件台帳'!$B$6:$B$105,MATCH(B176,'案件台帳'!$A$6:$A$105,0)),""))</f>
        <v/>
      </c>
      <c r="D176" s="25" t="n"/>
      <c r="E176" s="25" t="n"/>
      <c r="F176" s="25" t="n"/>
      <c r="G176" s="29" t="n"/>
      <c r="H176" s="29" t="n"/>
      <c r="I176" s="19">
        <f>IF(COUNT(G176:H176)=0,"",$B$2+SUM(G$6:G176)-SUM(H$6:H176))</f>
        <v/>
      </c>
    </row>
    <row r="177">
      <c r="A177" s="45" t="n"/>
      <c r="B177" s="25" t="n"/>
      <c r="C177" s="17">
        <f>IF(B177="","",IFERROR(INDEX('案件台帳'!$B$6:$B$105,MATCH(B177,'案件台帳'!$A$6:$A$105,0)),""))</f>
        <v/>
      </c>
      <c r="D177" s="25" t="n"/>
      <c r="E177" s="25" t="n"/>
      <c r="F177" s="25" t="n"/>
      <c r="G177" s="29" t="n"/>
      <c r="H177" s="29" t="n"/>
      <c r="I177" s="19">
        <f>IF(COUNT(G177:H177)=0,"",$B$2+SUM(G$6:G177)-SUM(H$6:H177))</f>
        <v/>
      </c>
    </row>
    <row r="178">
      <c r="A178" s="45" t="n"/>
      <c r="B178" s="25" t="n"/>
      <c r="C178" s="17">
        <f>IF(B178="","",IFERROR(INDEX('案件台帳'!$B$6:$B$105,MATCH(B178,'案件台帳'!$A$6:$A$105,0)),""))</f>
        <v/>
      </c>
      <c r="D178" s="25" t="n"/>
      <c r="E178" s="25" t="n"/>
      <c r="F178" s="25" t="n"/>
      <c r="G178" s="29" t="n"/>
      <c r="H178" s="29" t="n"/>
      <c r="I178" s="19">
        <f>IF(COUNT(G178:H178)=0,"",$B$2+SUM(G$6:G178)-SUM(H$6:H178))</f>
        <v/>
      </c>
    </row>
    <row r="179">
      <c r="A179" s="45" t="n"/>
      <c r="B179" s="25" t="n"/>
      <c r="C179" s="17">
        <f>IF(B179="","",IFERROR(INDEX('案件台帳'!$B$6:$B$105,MATCH(B179,'案件台帳'!$A$6:$A$105,0)),""))</f>
        <v/>
      </c>
      <c r="D179" s="25" t="n"/>
      <c r="E179" s="25" t="n"/>
      <c r="F179" s="25" t="n"/>
      <c r="G179" s="29" t="n"/>
      <c r="H179" s="29" t="n"/>
      <c r="I179" s="19">
        <f>IF(COUNT(G179:H179)=0,"",$B$2+SUM(G$6:G179)-SUM(H$6:H179))</f>
        <v/>
      </c>
    </row>
    <row r="180">
      <c r="A180" s="45" t="n"/>
      <c r="B180" s="25" t="n"/>
      <c r="C180" s="17">
        <f>IF(B180="","",IFERROR(INDEX('案件台帳'!$B$6:$B$105,MATCH(B180,'案件台帳'!$A$6:$A$105,0)),""))</f>
        <v/>
      </c>
      <c r="D180" s="25" t="n"/>
      <c r="E180" s="25" t="n"/>
      <c r="F180" s="25" t="n"/>
      <c r="G180" s="29" t="n"/>
      <c r="H180" s="29" t="n"/>
      <c r="I180" s="19">
        <f>IF(COUNT(G180:H180)=0,"",$B$2+SUM(G$6:G180)-SUM(H$6:H180))</f>
        <v/>
      </c>
    </row>
    <row r="181">
      <c r="A181" s="45" t="n"/>
      <c r="B181" s="25" t="n"/>
      <c r="C181" s="17">
        <f>IF(B181="","",IFERROR(INDEX('案件台帳'!$B$6:$B$105,MATCH(B181,'案件台帳'!$A$6:$A$105,0)),""))</f>
        <v/>
      </c>
      <c r="D181" s="25" t="n"/>
      <c r="E181" s="25" t="n"/>
      <c r="F181" s="25" t="n"/>
      <c r="G181" s="29" t="n"/>
      <c r="H181" s="29" t="n"/>
      <c r="I181" s="19">
        <f>IF(COUNT(G181:H181)=0,"",$B$2+SUM(G$6:G181)-SUM(H$6:H181))</f>
        <v/>
      </c>
    </row>
    <row r="182">
      <c r="A182" s="45" t="n"/>
      <c r="B182" s="25" t="n"/>
      <c r="C182" s="17">
        <f>IF(B182="","",IFERROR(INDEX('案件台帳'!$B$6:$B$105,MATCH(B182,'案件台帳'!$A$6:$A$105,0)),""))</f>
        <v/>
      </c>
      <c r="D182" s="25" t="n"/>
      <c r="E182" s="25" t="n"/>
      <c r="F182" s="25" t="n"/>
      <c r="G182" s="29" t="n"/>
      <c r="H182" s="29" t="n"/>
      <c r="I182" s="19">
        <f>IF(COUNT(G182:H182)=0,"",$B$2+SUM(G$6:G182)-SUM(H$6:H182))</f>
        <v/>
      </c>
    </row>
    <row r="183">
      <c r="A183" s="45" t="n"/>
      <c r="B183" s="25" t="n"/>
      <c r="C183" s="17">
        <f>IF(B183="","",IFERROR(INDEX('案件台帳'!$B$6:$B$105,MATCH(B183,'案件台帳'!$A$6:$A$105,0)),""))</f>
        <v/>
      </c>
      <c r="D183" s="25" t="n"/>
      <c r="E183" s="25" t="n"/>
      <c r="F183" s="25" t="n"/>
      <c r="G183" s="29" t="n"/>
      <c r="H183" s="29" t="n"/>
      <c r="I183" s="19">
        <f>IF(COUNT(G183:H183)=0,"",$B$2+SUM(G$6:G183)-SUM(H$6:H183))</f>
        <v/>
      </c>
    </row>
    <row r="184">
      <c r="A184" s="45" t="n"/>
      <c r="B184" s="25" t="n"/>
      <c r="C184" s="17">
        <f>IF(B184="","",IFERROR(INDEX('案件台帳'!$B$6:$B$105,MATCH(B184,'案件台帳'!$A$6:$A$105,0)),""))</f>
        <v/>
      </c>
      <c r="D184" s="25" t="n"/>
      <c r="E184" s="25" t="n"/>
      <c r="F184" s="25" t="n"/>
      <c r="G184" s="29" t="n"/>
      <c r="H184" s="29" t="n"/>
      <c r="I184" s="19">
        <f>IF(COUNT(G184:H184)=0,"",$B$2+SUM(G$6:G184)-SUM(H$6:H184))</f>
        <v/>
      </c>
    </row>
    <row r="185">
      <c r="A185" s="45" t="n"/>
      <c r="B185" s="25" t="n"/>
      <c r="C185" s="17">
        <f>IF(B185="","",IFERROR(INDEX('案件台帳'!$B$6:$B$105,MATCH(B185,'案件台帳'!$A$6:$A$105,0)),""))</f>
        <v/>
      </c>
      <c r="D185" s="25" t="n"/>
      <c r="E185" s="25" t="n"/>
      <c r="F185" s="25" t="n"/>
      <c r="G185" s="29" t="n"/>
      <c r="H185" s="29" t="n"/>
      <c r="I185" s="19">
        <f>IF(COUNT(G185:H185)=0,"",$B$2+SUM(G$6:G185)-SUM(H$6:H185))</f>
        <v/>
      </c>
    </row>
    <row r="186">
      <c r="A186" s="45" t="n"/>
      <c r="B186" s="25" t="n"/>
      <c r="C186" s="17">
        <f>IF(B186="","",IFERROR(INDEX('案件台帳'!$B$6:$B$105,MATCH(B186,'案件台帳'!$A$6:$A$105,0)),""))</f>
        <v/>
      </c>
      <c r="D186" s="25" t="n"/>
      <c r="E186" s="25" t="n"/>
      <c r="F186" s="25" t="n"/>
      <c r="G186" s="29" t="n"/>
      <c r="H186" s="29" t="n"/>
      <c r="I186" s="19">
        <f>IF(COUNT(G186:H186)=0,"",$B$2+SUM(G$6:G186)-SUM(H$6:H186))</f>
        <v/>
      </c>
    </row>
    <row r="187">
      <c r="A187" s="45" t="n"/>
      <c r="B187" s="25" t="n"/>
      <c r="C187" s="17">
        <f>IF(B187="","",IFERROR(INDEX('案件台帳'!$B$6:$B$105,MATCH(B187,'案件台帳'!$A$6:$A$105,0)),""))</f>
        <v/>
      </c>
      <c r="D187" s="25" t="n"/>
      <c r="E187" s="25" t="n"/>
      <c r="F187" s="25" t="n"/>
      <c r="G187" s="29" t="n"/>
      <c r="H187" s="29" t="n"/>
      <c r="I187" s="19">
        <f>IF(COUNT(G187:H187)=0,"",$B$2+SUM(G$6:G187)-SUM(H$6:H187))</f>
        <v/>
      </c>
    </row>
    <row r="188">
      <c r="A188" s="45" t="n"/>
      <c r="B188" s="25" t="n"/>
      <c r="C188" s="17">
        <f>IF(B188="","",IFERROR(INDEX('案件台帳'!$B$6:$B$105,MATCH(B188,'案件台帳'!$A$6:$A$105,0)),""))</f>
        <v/>
      </c>
      <c r="D188" s="25" t="n"/>
      <c r="E188" s="25" t="n"/>
      <c r="F188" s="25" t="n"/>
      <c r="G188" s="29" t="n"/>
      <c r="H188" s="29" t="n"/>
      <c r="I188" s="19">
        <f>IF(COUNT(G188:H188)=0,"",$B$2+SUM(G$6:G188)-SUM(H$6:H188))</f>
        <v/>
      </c>
    </row>
    <row r="189">
      <c r="A189" s="45" t="n"/>
      <c r="B189" s="25" t="n"/>
      <c r="C189" s="17">
        <f>IF(B189="","",IFERROR(INDEX('案件台帳'!$B$6:$B$105,MATCH(B189,'案件台帳'!$A$6:$A$105,0)),""))</f>
        <v/>
      </c>
      <c r="D189" s="25" t="n"/>
      <c r="E189" s="25" t="n"/>
      <c r="F189" s="25" t="n"/>
      <c r="G189" s="29" t="n"/>
      <c r="H189" s="29" t="n"/>
      <c r="I189" s="19">
        <f>IF(COUNT(G189:H189)=0,"",$B$2+SUM(G$6:G189)-SUM(H$6:H189))</f>
        <v/>
      </c>
    </row>
    <row r="190">
      <c r="A190" s="45" t="n"/>
      <c r="B190" s="25" t="n"/>
      <c r="C190" s="17">
        <f>IF(B190="","",IFERROR(INDEX('案件台帳'!$B$6:$B$105,MATCH(B190,'案件台帳'!$A$6:$A$105,0)),""))</f>
        <v/>
      </c>
      <c r="D190" s="25" t="n"/>
      <c r="E190" s="25" t="n"/>
      <c r="F190" s="25" t="n"/>
      <c r="G190" s="29" t="n"/>
      <c r="H190" s="29" t="n"/>
      <c r="I190" s="19">
        <f>IF(COUNT(G190:H190)=0,"",$B$2+SUM(G$6:G190)-SUM(H$6:H190))</f>
        <v/>
      </c>
    </row>
    <row r="191">
      <c r="A191" s="45" t="n"/>
      <c r="B191" s="25" t="n"/>
      <c r="C191" s="17">
        <f>IF(B191="","",IFERROR(INDEX('案件台帳'!$B$6:$B$105,MATCH(B191,'案件台帳'!$A$6:$A$105,0)),""))</f>
        <v/>
      </c>
      <c r="D191" s="25" t="n"/>
      <c r="E191" s="25" t="n"/>
      <c r="F191" s="25" t="n"/>
      <c r="G191" s="29" t="n"/>
      <c r="H191" s="29" t="n"/>
      <c r="I191" s="19">
        <f>IF(COUNT(G191:H191)=0,"",$B$2+SUM(G$6:G191)-SUM(H$6:H191))</f>
        <v/>
      </c>
    </row>
    <row r="192">
      <c r="A192" s="45" t="n"/>
      <c r="B192" s="25" t="n"/>
      <c r="C192" s="17">
        <f>IF(B192="","",IFERROR(INDEX('案件台帳'!$B$6:$B$105,MATCH(B192,'案件台帳'!$A$6:$A$105,0)),""))</f>
        <v/>
      </c>
      <c r="D192" s="25" t="n"/>
      <c r="E192" s="25" t="n"/>
      <c r="F192" s="25" t="n"/>
      <c r="G192" s="29" t="n"/>
      <c r="H192" s="29" t="n"/>
      <c r="I192" s="19">
        <f>IF(COUNT(G192:H192)=0,"",$B$2+SUM(G$6:G192)-SUM(H$6:H192))</f>
        <v/>
      </c>
    </row>
    <row r="193">
      <c r="A193" s="45" t="n"/>
      <c r="B193" s="25" t="n"/>
      <c r="C193" s="17">
        <f>IF(B193="","",IFERROR(INDEX('案件台帳'!$B$6:$B$105,MATCH(B193,'案件台帳'!$A$6:$A$105,0)),""))</f>
        <v/>
      </c>
      <c r="D193" s="25" t="n"/>
      <c r="E193" s="25" t="n"/>
      <c r="F193" s="25" t="n"/>
      <c r="G193" s="29" t="n"/>
      <c r="H193" s="29" t="n"/>
      <c r="I193" s="19">
        <f>IF(COUNT(G193:H193)=0,"",$B$2+SUM(G$6:G193)-SUM(H$6:H193))</f>
        <v/>
      </c>
    </row>
    <row r="194">
      <c r="A194" s="45" t="n"/>
      <c r="B194" s="25" t="n"/>
      <c r="C194" s="17">
        <f>IF(B194="","",IFERROR(INDEX('案件台帳'!$B$6:$B$105,MATCH(B194,'案件台帳'!$A$6:$A$105,0)),""))</f>
        <v/>
      </c>
      <c r="D194" s="25" t="n"/>
      <c r="E194" s="25" t="n"/>
      <c r="F194" s="25" t="n"/>
      <c r="G194" s="29" t="n"/>
      <c r="H194" s="29" t="n"/>
      <c r="I194" s="19">
        <f>IF(COUNT(G194:H194)=0,"",$B$2+SUM(G$6:G194)-SUM(H$6:H194))</f>
        <v/>
      </c>
    </row>
    <row r="195">
      <c r="A195" s="45" t="n"/>
      <c r="B195" s="25" t="n"/>
      <c r="C195" s="17">
        <f>IF(B195="","",IFERROR(INDEX('案件台帳'!$B$6:$B$105,MATCH(B195,'案件台帳'!$A$6:$A$105,0)),""))</f>
        <v/>
      </c>
      <c r="D195" s="25" t="n"/>
      <c r="E195" s="25" t="n"/>
      <c r="F195" s="25" t="n"/>
      <c r="G195" s="29" t="n"/>
      <c r="H195" s="29" t="n"/>
      <c r="I195" s="19">
        <f>IF(COUNT(G195:H195)=0,"",$B$2+SUM(G$6:G195)-SUM(H$6:H195))</f>
        <v/>
      </c>
    </row>
    <row r="196">
      <c r="A196" s="45" t="n"/>
      <c r="B196" s="25" t="n"/>
      <c r="C196" s="17">
        <f>IF(B196="","",IFERROR(INDEX('案件台帳'!$B$6:$B$105,MATCH(B196,'案件台帳'!$A$6:$A$105,0)),""))</f>
        <v/>
      </c>
      <c r="D196" s="25" t="n"/>
      <c r="E196" s="25" t="n"/>
      <c r="F196" s="25" t="n"/>
      <c r="G196" s="29" t="n"/>
      <c r="H196" s="29" t="n"/>
      <c r="I196" s="19">
        <f>IF(COUNT(G196:H196)=0,"",$B$2+SUM(G$6:G196)-SUM(H$6:H196))</f>
        <v/>
      </c>
    </row>
    <row r="197">
      <c r="A197" s="45" t="n"/>
      <c r="B197" s="25" t="n"/>
      <c r="C197" s="17">
        <f>IF(B197="","",IFERROR(INDEX('案件台帳'!$B$6:$B$105,MATCH(B197,'案件台帳'!$A$6:$A$105,0)),""))</f>
        <v/>
      </c>
      <c r="D197" s="25" t="n"/>
      <c r="E197" s="25" t="n"/>
      <c r="F197" s="25" t="n"/>
      <c r="G197" s="29" t="n"/>
      <c r="H197" s="29" t="n"/>
      <c r="I197" s="19">
        <f>IF(COUNT(G197:H197)=0,"",$B$2+SUM(G$6:G197)-SUM(H$6:H197))</f>
        <v/>
      </c>
    </row>
    <row r="198">
      <c r="A198" s="45" t="n"/>
      <c r="B198" s="25" t="n"/>
      <c r="C198" s="17">
        <f>IF(B198="","",IFERROR(INDEX('案件台帳'!$B$6:$B$105,MATCH(B198,'案件台帳'!$A$6:$A$105,0)),""))</f>
        <v/>
      </c>
      <c r="D198" s="25" t="n"/>
      <c r="E198" s="25" t="n"/>
      <c r="F198" s="25" t="n"/>
      <c r="G198" s="29" t="n"/>
      <c r="H198" s="29" t="n"/>
      <c r="I198" s="19">
        <f>IF(COUNT(G198:H198)=0,"",$B$2+SUM(G$6:G198)-SUM(H$6:H198))</f>
        <v/>
      </c>
    </row>
    <row r="199">
      <c r="A199" s="45" t="n"/>
      <c r="B199" s="25" t="n"/>
      <c r="C199" s="17">
        <f>IF(B199="","",IFERROR(INDEX('案件台帳'!$B$6:$B$105,MATCH(B199,'案件台帳'!$A$6:$A$105,0)),""))</f>
        <v/>
      </c>
      <c r="D199" s="25" t="n"/>
      <c r="E199" s="25" t="n"/>
      <c r="F199" s="25" t="n"/>
      <c r="G199" s="29" t="n"/>
      <c r="H199" s="29" t="n"/>
      <c r="I199" s="19">
        <f>IF(COUNT(G199:H199)=0,"",$B$2+SUM(G$6:G199)-SUM(H$6:H199))</f>
        <v/>
      </c>
    </row>
    <row r="200">
      <c r="A200" s="45" t="n"/>
      <c r="B200" s="25" t="n"/>
      <c r="C200" s="17">
        <f>IF(B200="","",IFERROR(INDEX('案件台帳'!$B$6:$B$105,MATCH(B200,'案件台帳'!$A$6:$A$105,0)),""))</f>
        <v/>
      </c>
      <c r="D200" s="25" t="n"/>
      <c r="E200" s="25" t="n"/>
      <c r="F200" s="25" t="n"/>
      <c r="G200" s="29" t="n"/>
      <c r="H200" s="29" t="n"/>
      <c r="I200" s="19">
        <f>IF(COUNT(G200:H200)=0,"",$B$2+SUM(G$6:G200)-SUM(H$6:H200))</f>
        <v/>
      </c>
    </row>
    <row r="201">
      <c r="A201" s="45" t="n"/>
      <c r="B201" s="25" t="n"/>
      <c r="C201" s="17">
        <f>IF(B201="","",IFERROR(INDEX('案件台帳'!$B$6:$B$105,MATCH(B201,'案件台帳'!$A$6:$A$105,0)),""))</f>
        <v/>
      </c>
      <c r="D201" s="25" t="n"/>
      <c r="E201" s="25" t="n"/>
      <c r="F201" s="25" t="n"/>
      <c r="G201" s="29" t="n"/>
      <c r="H201" s="29" t="n"/>
      <c r="I201" s="19">
        <f>IF(COUNT(G201:H201)=0,"",$B$2+SUM(G$6:G201)-SUM(H$6:H201))</f>
        <v/>
      </c>
    </row>
    <row r="202">
      <c r="A202" s="45" t="n"/>
      <c r="B202" s="25" t="n"/>
      <c r="C202" s="17">
        <f>IF(B202="","",IFERROR(INDEX('案件台帳'!$B$6:$B$105,MATCH(B202,'案件台帳'!$A$6:$A$105,0)),""))</f>
        <v/>
      </c>
      <c r="D202" s="25" t="n"/>
      <c r="E202" s="25" t="n"/>
      <c r="F202" s="25" t="n"/>
      <c r="G202" s="29" t="n"/>
      <c r="H202" s="29" t="n"/>
      <c r="I202" s="19">
        <f>IF(COUNT(G202:H202)=0,"",$B$2+SUM(G$6:G202)-SUM(H$6:H202))</f>
        <v/>
      </c>
    </row>
    <row r="203">
      <c r="A203" s="45" t="n"/>
      <c r="B203" s="25" t="n"/>
      <c r="C203" s="17">
        <f>IF(B203="","",IFERROR(INDEX('案件台帳'!$B$6:$B$105,MATCH(B203,'案件台帳'!$A$6:$A$105,0)),""))</f>
        <v/>
      </c>
      <c r="D203" s="25" t="n"/>
      <c r="E203" s="25" t="n"/>
      <c r="F203" s="25" t="n"/>
      <c r="G203" s="29" t="n"/>
      <c r="H203" s="29" t="n"/>
      <c r="I203" s="19">
        <f>IF(COUNT(G203:H203)=0,"",$B$2+SUM(G$6:G203)-SUM(H$6:H203))</f>
        <v/>
      </c>
    </row>
    <row r="204">
      <c r="A204" s="45" t="n"/>
      <c r="B204" s="25" t="n"/>
      <c r="C204" s="17">
        <f>IF(B204="","",IFERROR(INDEX('案件台帳'!$B$6:$B$105,MATCH(B204,'案件台帳'!$A$6:$A$105,0)),""))</f>
        <v/>
      </c>
      <c r="D204" s="25" t="n"/>
      <c r="E204" s="25" t="n"/>
      <c r="F204" s="25" t="n"/>
      <c r="G204" s="29" t="n"/>
      <c r="H204" s="29" t="n"/>
      <c r="I204" s="19">
        <f>IF(COUNT(G204:H204)=0,"",$B$2+SUM(G$6:G204)-SUM(H$6:H204))</f>
        <v/>
      </c>
    </row>
    <row r="205">
      <c r="A205" s="45" t="n"/>
      <c r="B205" s="25" t="n"/>
      <c r="C205" s="17">
        <f>IF(B205="","",IFERROR(INDEX('案件台帳'!$B$6:$B$105,MATCH(B205,'案件台帳'!$A$6:$A$105,0)),""))</f>
        <v/>
      </c>
      <c r="D205" s="25" t="n"/>
      <c r="E205" s="25" t="n"/>
      <c r="F205" s="25" t="n"/>
      <c r="G205" s="29" t="n"/>
      <c r="H205" s="29" t="n"/>
      <c r="I205" s="19">
        <f>IF(COUNT(G205:H205)=0,"",$B$2+SUM(G$6:G205)-SUM(H$6:H205))</f>
        <v/>
      </c>
    </row>
    <row r="206">
      <c r="A206" s="45" t="n"/>
      <c r="B206" s="25" t="n"/>
      <c r="C206" s="17">
        <f>IF(B206="","",IFERROR(INDEX('案件台帳'!$B$6:$B$105,MATCH(B206,'案件台帳'!$A$6:$A$105,0)),""))</f>
        <v/>
      </c>
      <c r="D206" s="25" t="n"/>
      <c r="E206" s="25" t="n"/>
      <c r="F206" s="25" t="n"/>
      <c r="G206" s="29" t="n"/>
      <c r="H206" s="29" t="n"/>
      <c r="I206" s="19">
        <f>IF(COUNT(G206:H206)=0,"",$B$2+SUM(G$6:G206)-SUM(H$6:H206))</f>
        <v/>
      </c>
    </row>
    <row r="207">
      <c r="A207" s="45" t="n"/>
      <c r="B207" s="25" t="n"/>
      <c r="C207" s="17">
        <f>IF(B207="","",IFERROR(INDEX('案件台帳'!$B$6:$B$105,MATCH(B207,'案件台帳'!$A$6:$A$105,0)),""))</f>
        <v/>
      </c>
      <c r="D207" s="25" t="n"/>
      <c r="E207" s="25" t="n"/>
      <c r="F207" s="25" t="n"/>
      <c r="G207" s="29" t="n"/>
      <c r="H207" s="29" t="n"/>
      <c r="I207" s="19">
        <f>IF(COUNT(G207:H207)=0,"",$B$2+SUM(G$6:G207)-SUM(H$6:H207))</f>
        <v/>
      </c>
    </row>
    <row r="208">
      <c r="A208" s="45" t="n"/>
      <c r="B208" s="25" t="n"/>
      <c r="C208" s="17">
        <f>IF(B208="","",IFERROR(INDEX('案件台帳'!$B$6:$B$105,MATCH(B208,'案件台帳'!$A$6:$A$105,0)),""))</f>
        <v/>
      </c>
      <c r="D208" s="25" t="n"/>
      <c r="E208" s="25" t="n"/>
      <c r="F208" s="25" t="n"/>
      <c r="G208" s="29" t="n"/>
      <c r="H208" s="29" t="n"/>
      <c r="I208" s="19">
        <f>IF(COUNT(G208:H208)=0,"",$B$2+SUM(G$6:G208)-SUM(H$6:H208))</f>
        <v/>
      </c>
    </row>
    <row r="209">
      <c r="A209" s="45" t="n"/>
      <c r="B209" s="25" t="n"/>
      <c r="C209" s="17">
        <f>IF(B209="","",IFERROR(INDEX('案件台帳'!$B$6:$B$105,MATCH(B209,'案件台帳'!$A$6:$A$105,0)),""))</f>
        <v/>
      </c>
      <c r="D209" s="25" t="n"/>
      <c r="E209" s="25" t="n"/>
      <c r="F209" s="25" t="n"/>
      <c r="G209" s="29" t="n"/>
      <c r="H209" s="29" t="n"/>
      <c r="I209" s="19">
        <f>IF(COUNT(G209:H209)=0,"",$B$2+SUM(G$6:G209)-SUM(H$6:H209))</f>
        <v/>
      </c>
    </row>
    <row r="210">
      <c r="A210" s="45" t="n"/>
      <c r="B210" s="25" t="n"/>
      <c r="C210" s="17">
        <f>IF(B210="","",IFERROR(INDEX('案件台帳'!$B$6:$B$105,MATCH(B210,'案件台帳'!$A$6:$A$105,0)),""))</f>
        <v/>
      </c>
      <c r="D210" s="25" t="n"/>
      <c r="E210" s="25" t="n"/>
      <c r="F210" s="25" t="n"/>
      <c r="G210" s="29" t="n"/>
      <c r="H210" s="29" t="n"/>
      <c r="I210" s="19">
        <f>IF(COUNT(G210:H210)=0,"",$B$2+SUM(G$6:G210)-SUM(H$6:H210))</f>
        <v/>
      </c>
    </row>
    <row r="211">
      <c r="A211" s="45" t="n"/>
      <c r="B211" s="25" t="n"/>
      <c r="C211" s="17">
        <f>IF(B211="","",IFERROR(INDEX('案件台帳'!$B$6:$B$105,MATCH(B211,'案件台帳'!$A$6:$A$105,0)),""))</f>
        <v/>
      </c>
      <c r="D211" s="25" t="n"/>
      <c r="E211" s="25" t="n"/>
      <c r="F211" s="25" t="n"/>
      <c r="G211" s="29" t="n"/>
      <c r="H211" s="29" t="n"/>
      <c r="I211" s="19">
        <f>IF(COUNT(G211:H211)=0,"",$B$2+SUM(G$6:G211)-SUM(H$6:H211))</f>
        <v/>
      </c>
    </row>
    <row r="212">
      <c r="A212" s="45" t="n"/>
      <c r="B212" s="25" t="n"/>
      <c r="C212" s="17">
        <f>IF(B212="","",IFERROR(INDEX('案件台帳'!$B$6:$B$105,MATCH(B212,'案件台帳'!$A$6:$A$105,0)),""))</f>
        <v/>
      </c>
      <c r="D212" s="25" t="n"/>
      <c r="E212" s="25" t="n"/>
      <c r="F212" s="25" t="n"/>
      <c r="G212" s="29" t="n"/>
      <c r="H212" s="29" t="n"/>
      <c r="I212" s="19">
        <f>IF(COUNT(G212:H212)=0,"",$B$2+SUM(G$6:G212)-SUM(H$6:H212))</f>
        <v/>
      </c>
    </row>
    <row r="213">
      <c r="A213" s="45" t="n"/>
      <c r="B213" s="25" t="n"/>
      <c r="C213" s="17">
        <f>IF(B213="","",IFERROR(INDEX('案件台帳'!$B$6:$B$105,MATCH(B213,'案件台帳'!$A$6:$A$105,0)),""))</f>
        <v/>
      </c>
      <c r="D213" s="25" t="n"/>
      <c r="E213" s="25" t="n"/>
      <c r="F213" s="25" t="n"/>
      <c r="G213" s="29" t="n"/>
      <c r="H213" s="29" t="n"/>
      <c r="I213" s="19">
        <f>IF(COUNT(G213:H213)=0,"",$B$2+SUM(G$6:G213)-SUM(H$6:H213))</f>
        <v/>
      </c>
    </row>
    <row r="214">
      <c r="A214" s="45" t="n"/>
      <c r="B214" s="25" t="n"/>
      <c r="C214" s="17">
        <f>IF(B214="","",IFERROR(INDEX('案件台帳'!$B$6:$B$105,MATCH(B214,'案件台帳'!$A$6:$A$105,0)),""))</f>
        <v/>
      </c>
      <c r="D214" s="25" t="n"/>
      <c r="E214" s="25" t="n"/>
      <c r="F214" s="25" t="n"/>
      <c r="G214" s="29" t="n"/>
      <c r="H214" s="29" t="n"/>
      <c r="I214" s="19">
        <f>IF(COUNT(G214:H214)=0,"",$B$2+SUM(G$6:G214)-SUM(H$6:H214))</f>
        <v/>
      </c>
    </row>
    <row r="215">
      <c r="A215" s="45" t="n"/>
      <c r="B215" s="25" t="n"/>
      <c r="C215" s="17">
        <f>IF(B215="","",IFERROR(INDEX('案件台帳'!$B$6:$B$105,MATCH(B215,'案件台帳'!$A$6:$A$105,0)),""))</f>
        <v/>
      </c>
      <c r="D215" s="25" t="n"/>
      <c r="E215" s="25" t="n"/>
      <c r="F215" s="25" t="n"/>
      <c r="G215" s="29" t="n"/>
      <c r="H215" s="29" t="n"/>
      <c r="I215" s="19">
        <f>IF(COUNT(G215:H215)=0,"",$B$2+SUM(G$6:G215)-SUM(H$6:H215))</f>
        <v/>
      </c>
    </row>
    <row r="216">
      <c r="A216" s="45" t="n"/>
      <c r="B216" s="25" t="n"/>
      <c r="C216" s="17">
        <f>IF(B216="","",IFERROR(INDEX('案件台帳'!$B$6:$B$105,MATCH(B216,'案件台帳'!$A$6:$A$105,0)),""))</f>
        <v/>
      </c>
      <c r="D216" s="25" t="n"/>
      <c r="E216" s="25" t="n"/>
      <c r="F216" s="25" t="n"/>
      <c r="G216" s="29" t="n"/>
      <c r="H216" s="29" t="n"/>
      <c r="I216" s="19">
        <f>IF(COUNT(G216:H216)=0,"",$B$2+SUM(G$6:G216)-SUM(H$6:H216))</f>
        <v/>
      </c>
    </row>
    <row r="217">
      <c r="A217" s="45" t="n"/>
      <c r="B217" s="25" t="n"/>
      <c r="C217" s="17">
        <f>IF(B217="","",IFERROR(INDEX('案件台帳'!$B$6:$B$105,MATCH(B217,'案件台帳'!$A$6:$A$105,0)),""))</f>
        <v/>
      </c>
      <c r="D217" s="25" t="n"/>
      <c r="E217" s="25" t="n"/>
      <c r="F217" s="25" t="n"/>
      <c r="G217" s="29" t="n"/>
      <c r="H217" s="29" t="n"/>
      <c r="I217" s="19">
        <f>IF(COUNT(G217:H217)=0,"",$B$2+SUM(G$6:G217)-SUM(H$6:H217))</f>
        <v/>
      </c>
    </row>
    <row r="218">
      <c r="A218" s="45" t="n"/>
      <c r="B218" s="25" t="n"/>
      <c r="C218" s="17">
        <f>IF(B218="","",IFERROR(INDEX('案件台帳'!$B$6:$B$105,MATCH(B218,'案件台帳'!$A$6:$A$105,0)),""))</f>
        <v/>
      </c>
      <c r="D218" s="25" t="n"/>
      <c r="E218" s="25" t="n"/>
      <c r="F218" s="25" t="n"/>
      <c r="G218" s="29" t="n"/>
      <c r="H218" s="29" t="n"/>
      <c r="I218" s="19">
        <f>IF(COUNT(G218:H218)=0,"",$B$2+SUM(G$6:G218)-SUM(H$6:H218))</f>
        <v/>
      </c>
    </row>
    <row r="219">
      <c r="A219" s="45" t="n"/>
      <c r="B219" s="25" t="n"/>
      <c r="C219" s="17">
        <f>IF(B219="","",IFERROR(INDEX('案件台帳'!$B$6:$B$105,MATCH(B219,'案件台帳'!$A$6:$A$105,0)),""))</f>
        <v/>
      </c>
      <c r="D219" s="25" t="n"/>
      <c r="E219" s="25" t="n"/>
      <c r="F219" s="25" t="n"/>
      <c r="G219" s="29" t="n"/>
      <c r="H219" s="29" t="n"/>
      <c r="I219" s="19">
        <f>IF(COUNT(G219:H219)=0,"",$B$2+SUM(G$6:G219)-SUM(H$6:H219))</f>
        <v/>
      </c>
    </row>
    <row r="220">
      <c r="A220" s="45" t="n"/>
      <c r="B220" s="25" t="n"/>
      <c r="C220" s="17">
        <f>IF(B220="","",IFERROR(INDEX('案件台帳'!$B$6:$B$105,MATCH(B220,'案件台帳'!$A$6:$A$105,0)),""))</f>
        <v/>
      </c>
      <c r="D220" s="25" t="n"/>
      <c r="E220" s="25" t="n"/>
      <c r="F220" s="25" t="n"/>
      <c r="G220" s="29" t="n"/>
      <c r="H220" s="29" t="n"/>
      <c r="I220" s="19">
        <f>IF(COUNT(G220:H220)=0,"",$B$2+SUM(G$6:G220)-SUM(H$6:H220))</f>
        <v/>
      </c>
    </row>
    <row r="221">
      <c r="A221" s="45" t="n"/>
      <c r="B221" s="25" t="n"/>
      <c r="C221" s="17">
        <f>IF(B221="","",IFERROR(INDEX('案件台帳'!$B$6:$B$105,MATCH(B221,'案件台帳'!$A$6:$A$105,0)),""))</f>
        <v/>
      </c>
      <c r="D221" s="25" t="n"/>
      <c r="E221" s="25" t="n"/>
      <c r="F221" s="25" t="n"/>
      <c r="G221" s="29" t="n"/>
      <c r="H221" s="29" t="n"/>
      <c r="I221" s="19">
        <f>IF(COUNT(G221:H221)=0,"",$B$2+SUM(G$6:G221)-SUM(H$6:H221))</f>
        <v/>
      </c>
    </row>
    <row r="222">
      <c r="A222" s="45" t="n"/>
      <c r="B222" s="25" t="n"/>
      <c r="C222" s="17">
        <f>IF(B222="","",IFERROR(INDEX('案件台帳'!$B$6:$B$105,MATCH(B222,'案件台帳'!$A$6:$A$105,0)),""))</f>
        <v/>
      </c>
      <c r="D222" s="25" t="n"/>
      <c r="E222" s="25" t="n"/>
      <c r="F222" s="25" t="n"/>
      <c r="G222" s="29" t="n"/>
      <c r="H222" s="29" t="n"/>
      <c r="I222" s="19">
        <f>IF(COUNT(G222:H222)=0,"",$B$2+SUM(G$6:G222)-SUM(H$6:H222))</f>
        <v/>
      </c>
    </row>
    <row r="223">
      <c r="A223" s="45" t="n"/>
      <c r="B223" s="25" t="n"/>
      <c r="C223" s="17">
        <f>IF(B223="","",IFERROR(INDEX('案件台帳'!$B$6:$B$105,MATCH(B223,'案件台帳'!$A$6:$A$105,0)),""))</f>
        <v/>
      </c>
      <c r="D223" s="25" t="n"/>
      <c r="E223" s="25" t="n"/>
      <c r="F223" s="25" t="n"/>
      <c r="G223" s="29" t="n"/>
      <c r="H223" s="29" t="n"/>
      <c r="I223" s="19">
        <f>IF(COUNT(G223:H223)=0,"",$B$2+SUM(G$6:G223)-SUM(H$6:H223))</f>
        <v/>
      </c>
    </row>
    <row r="224">
      <c r="A224" s="45" t="n"/>
      <c r="B224" s="25" t="n"/>
      <c r="C224" s="17">
        <f>IF(B224="","",IFERROR(INDEX('案件台帳'!$B$6:$B$105,MATCH(B224,'案件台帳'!$A$6:$A$105,0)),""))</f>
        <v/>
      </c>
      <c r="D224" s="25" t="n"/>
      <c r="E224" s="25" t="n"/>
      <c r="F224" s="25" t="n"/>
      <c r="G224" s="29" t="n"/>
      <c r="H224" s="29" t="n"/>
      <c r="I224" s="19">
        <f>IF(COUNT(G224:H224)=0,"",$B$2+SUM(G$6:G224)-SUM(H$6:H224))</f>
        <v/>
      </c>
    </row>
    <row r="225">
      <c r="A225" s="45" t="n"/>
      <c r="B225" s="25" t="n"/>
      <c r="C225" s="17">
        <f>IF(B225="","",IFERROR(INDEX('案件台帳'!$B$6:$B$105,MATCH(B225,'案件台帳'!$A$6:$A$105,0)),""))</f>
        <v/>
      </c>
      <c r="D225" s="25" t="n"/>
      <c r="E225" s="25" t="n"/>
      <c r="F225" s="25" t="n"/>
      <c r="G225" s="29" t="n"/>
      <c r="H225" s="29" t="n"/>
      <c r="I225" s="19">
        <f>IF(COUNT(G225:H225)=0,"",$B$2+SUM(G$6:G225)-SUM(H$6:H225))</f>
        <v/>
      </c>
    </row>
    <row r="226">
      <c r="A226" s="45" t="n"/>
      <c r="B226" s="25" t="n"/>
      <c r="C226" s="17">
        <f>IF(B226="","",IFERROR(INDEX('案件台帳'!$B$6:$B$105,MATCH(B226,'案件台帳'!$A$6:$A$105,0)),""))</f>
        <v/>
      </c>
      <c r="D226" s="25" t="n"/>
      <c r="E226" s="25" t="n"/>
      <c r="F226" s="25" t="n"/>
      <c r="G226" s="29" t="n"/>
      <c r="H226" s="29" t="n"/>
      <c r="I226" s="19">
        <f>IF(COUNT(G226:H226)=0,"",$B$2+SUM(G$6:G226)-SUM(H$6:H226))</f>
        <v/>
      </c>
    </row>
    <row r="227">
      <c r="A227" s="45" t="n"/>
      <c r="B227" s="25" t="n"/>
      <c r="C227" s="17">
        <f>IF(B227="","",IFERROR(INDEX('案件台帳'!$B$6:$B$105,MATCH(B227,'案件台帳'!$A$6:$A$105,0)),""))</f>
        <v/>
      </c>
      <c r="D227" s="25" t="n"/>
      <c r="E227" s="25" t="n"/>
      <c r="F227" s="25" t="n"/>
      <c r="G227" s="29" t="n"/>
      <c r="H227" s="29" t="n"/>
      <c r="I227" s="19">
        <f>IF(COUNT(G227:H227)=0,"",$B$2+SUM(G$6:G227)-SUM(H$6:H227))</f>
        <v/>
      </c>
    </row>
    <row r="228">
      <c r="A228" s="45" t="n"/>
      <c r="B228" s="25" t="n"/>
      <c r="C228" s="17">
        <f>IF(B228="","",IFERROR(INDEX('案件台帳'!$B$6:$B$105,MATCH(B228,'案件台帳'!$A$6:$A$105,0)),""))</f>
        <v/>
      </c>
      <c r="D228" s="25" t="n"/>
      <c r="E228" s="25" t="n"/>
      <c r="F228" s="25" t="n"/>
      <c r="G228" s="29" t="n"/>
      <c r="H228" s="29" t="n"/>
      <c r="I228" s="19">
        <f>IF(COUNT(G228:H228)=0,"",$B$2+SUM(G$6:G228)-SUM(H$6:H228))</f>
        <v/>
      </c>
    </row>
    <row r="229">
      <c r="A229" s="45" t="n"/>
      <c r="B229" s="25" t="n"/>
      <c r="C229" s="17">
        <f>IF(B229="","",IFERROR(INDEX('案件台帳'!$B$6:$B$105,MATCH(B229,'案件台帳'!$A$6:$A$105,0)),""))</f>
        <v/>
      </c>
      <c r="D229" s="25" t="n"/>
      <c r="E229" s="25" t="n"/>
      <c r="F229" s="25" t="n"/>
      <c r="G229" s="29" t="n"/>
      <c r="H229" s="29" t="n"/>
      <c r="I229" s="19">
        <f>IF(COUNT(G229:H229)=0,"",$B$2+SUM(G$6:G229)-SUM(H$6:H229))</f>
        <v/>
      </c>
    </row>
    <row r="230">
      <c r="A230" s="45" t="n"/>
      <c r="B230" s="25" t="n"/>
      <c r="C230" s="17">
        <f>IF(B230="","",IFERROR(INDEX('案件台帳'!$B$6:$B$105,MATCH(B230,'案件台帳'!$A$6:$A$105,0)),""))</f>
        <v/>
      </c>
      <c r="D230" s="25" t="n"/>
      <c r="E230" s="25" t="n"/>
      <c r="F230" s="25" t="n"/>
      <c r="G230" s="29" t="n"/>
      <c r="H230" s="29" t="n"/>
      <c r="I230" s="19">
        <f>IF(COUNT(G230:H230)=0,"",$B$2+SUM(G$6:G230)-SUM(H$6:H230))</f>
        <v/>
      </c>
    </row>
    <row r="231">
      <c r="A231" s="45" t="n"/>
      <c r="B231" s="25" t="n"/>
      <c r="C231" s="17">
        <f>IF(B231="","",IFERROR(INDEX('案件台帳'!$B$6:$B$105,MATCH(B231,'案件台帳'!$A$6:$A$105,0)),""))</f>
        <v/>
      </c>
      <c r="D231" s="25" t="n"/>
      <c r="E231" s="25" t="n"/>
      <c r="F231" s="25" t="n"/>
      <c r="G231" s="29" t="n"/>
      <c r="H231" s="29" t="n"/>
      <c r="I231" s="19">
        <f>IF(COUNT(G231:H231)=0,"",$B$2+SUM(G$6:G231)-SUM(H$6:H231))</f>
        <v/>
      </c>
    </row>
    <row r="232">
      <c r="A232" s="45" t="n"/>
      <c r="B232" s="25" t="n"/>
      <c r="C232" s="17">
        <f>IF(B232="","",IFERROR(INDEX('案件台帳'!$B$6:$B$105,MATCH(B232,'案件台帳'!$A$6:$A$105,0)),""))</f>
        <v/>
      </c>
      <c r="D232" s="25" t="n"/>
      <c r="E232" s="25" t="n"/>
      <c r="F232" s="25" t="n"/>
      <c r="G232" s="29" t="n"/>
      <c r="H232" s="29" t="n"/>
      <c r="I232" s="19">
        <f>IF(COUNT(G232:H232)=0,"",$B$2+SUM(G$6:G232)-SUM(H$6:H232))</f>
        <v/>
      </c>
    </row>
    <row r="233">
      <c r="A233" s="45" t="n"/>
      <c r="B233" s="25" t="n"/>
      <c r="C233" s="17">
        <f>IF(B233="","",IFERROR(INDEX('案件台帳'!$B$6:$B$105,MATCH(B233,'案件台帳'!$A$6:$A$105,0)),""))</f>
        <v/>
      </c>
      <c r="D233" s="25" t="n"/>
      <c r="E233" s="25" t="n"/>
      <c r="F233" s="25" t="n"/>
      <c r="G233" s="29" t="n"/>
      <c r="H233" s="29" t="n"/>
      <c r="I233" s="19">
        <f>IF(COUNT(G233:H233)=0,"",$B$2+SUM(G$6:G233)-SUM(H$6:H233))</f>
        <v/>
      </c>
    </row>
    <row r="234">
      <c r="A234" s="45" t="n"/>
      <c r="B234" s="25" t="n"/>
      <c r="C234" s="17">
        <f>IF(B234="","",IFERROR(INDEX('案件台帳'!$B$6:$B$105,MATCH(B234,'案件台帳'!$A$6:$A$105,0)),""))</f>
        <v/>
      </c>
      <c r="D234" s="25" t="n"/>
      <c r="E234" s="25" t="n"/>
      <c r="F234" s="25" t="n"/>
      <c r="G234" s="29" t="n"/>
      <c r="H234" s="29" t="n"/>
      <c r="I234" s="19">
        <f>IF(COUNT(G234:H234)=0,"",$B$2+SUM(G$6:G234)-SUM(H$6:H234))</f>
        <v/>
      </c>
    </row>
    <row r="235">
      <c r="A235" s="45" t="n"/>
      <c r="B235" s="25" t="n"/>
      <c r="C235" s="17">
        <f>IF(B235="","",IFERROR(INDEX('案件台帳'!$B$6:$B$105,MATCH(B235,'案件台帳'!$A$6:$A$105,0)),""))</f>
        <v/>
      </c>
      <c r="D235" s="25" t="n"/>
      <c r="E235" s="25" t="n"/>
      <c r="F235" s="25" t="n"/>
      <c r="G235" s="29" t="n"/>
      <c r="H235" s="29" t="n"/>
      <c r="I235" s="19">
        <f>IF(COUNT(G235:H235)=0,"",$B$2+SUM(G$6:G235)-SUM(H$6:H235))</f>
        <v/>
      </c>
    </row>
    <row r="236">
      <c r="A236" s="45" t="n"/>
      <c r="B236" s="25" t="n"/>
      <c r="C236" s="17">
        <f>IF(B236="","",IFERROR(INDEX('案件台帳'!$B$6:$B$105,MATCH(B236,'案件台帳'!$A$6:$A$105,0)),""))</f>
        <v/>
      </c>
      <c r="D236" s="25" t="n"/>
      <c r="E236" s="25" t="n"/>
      <c r="F236" s="25" t="n"/>
      <c r="G236" s="29" t="n"/>
      <c r="H236" s="29" t="n"/>
      <c r="I236" s="19">
        <f>IF(COUNT(G236:H236)=0,"",$B$2+SUM(G$6:G236)-SUM(H$6:H236))</f>
        <v/>
      </c>
    </row>
    <row r="237">
      <c r="A237" s="45" t="n"/>
      <c r="B237" s="25" t="n"/>
      <c r="C237" s="17">
        <f>IF(B237="","",IFERROR(INDEX('案件台帳'!$B$6:$B$105,MATCH(B237,'案件台帳'!$A$6:$A$105,0)),""))</f>
        <v/>
      </c>
      <c r="D237" s="25" t="n"/>
      <c r="E237" s="25" t="n"/>
      <c r="F237" s="25" t="n"/>
      <c r="G237" s="29" t="n"/>
      <c r="H237" s="29" t="n"/>
      <c r="I237" s="19">
        <f>IF(COUNT(G237:H237)=0,"",$B$2+SUM(G$6:G237)-SUM(H$6:H237))</f>
        <v/>
      </c>
    </row>
    <row r="238">
      <c r="A238" s="45" t="n"/>
      <c r="B238" s="25" t="n"/>
      <c r="C238" s="17">
        <f>IF(B238="","",IFERROR(INDEX('案件台帳'!$B$6:$B$105,MATCH(B238,'案件台帳'!$A$6:$A$105,0)),""))</f>
        <v/>
      </c>
      <c r="D238" s="25" t="n"/>
      <c r="E238" s="25" t="n"/>
      <c r="F238" s="25" t="n"/>
      <c r="G238" s="29" t="n"/>
      <c r="H238" s="29" t="n"/>
      <c r="I238" s="19">
        <f>IF(COUNT(G238:H238)=0,"",$B$2+SUM(G$6:G238)-SUM(H$6:H238))</f>
        <v/>
      </c>
    </row>
    <row r="239">
      <c r="A239" s="45" t="n"/>
      <c r="B239" s="25" t="n"/>
      <c r="C239" s="17">
        <f>IF(B239="","",IFERROR(INDEX('案件台帳'!$B$6:$B$105,MATCH(B239,'案件台帳'!$A$6:$A$105,0)),""))</f>
        <v/>
      </c>
      <c r="D239" s="25" t="n"/>
      <c r="E239" s="25" t="n"/>
      <c r="F239" s="25" t="n"/>
      <c r="G239" s="29" t="n"/>
      <c r="H239" s="29" t="n"/>
      <c r="I239" s="19">
        <f>IF(COUNT(G239:H239)=0,"",$B$2+SUM(G$6:G239)-SUM(H$6:H239))</f>
        <v/>
      </c>
    </row>
    <row r="240">
      <c r="A240" s="45" t="n"/>
      <c r="B240" s="25" t="n"/>
      <c r="C240" s="17">
        <f>IF(B240="","",IFERROR(INDEX('案件台帳'!$B$6:$B$105,MATCH(B240,'案件台帳'!$A$6:$A$105,0)),""))</f>
        <v/>
      </c>
      <c r="D240" s="25" t="n"/>
      <c r="E240" s="25" t="n"/>
      <c r="F240" s="25" t="n"/>
      <c r="G240" s="29" t="n"/>
      <c r="H240" s="29" t="n"/>
      <c r="I240" s="19">
        <f>IF(COUNT(G240:H240)=0,"",$B$2+SUM(G$6:G240)-SUM(H$6:H240))</f>
        <v/>
      </c>
    </row>
    <row r="241">
      <c r="A241" s="45" t="n"/>
      <c r="B241" s="25" t="n"/>
      <c r="C241" s="17">
        <f>IF(B241="","",IFERROR(INDEX('案件台帳'!$B$6:$B$105,MATCH(B241,'案件台帳'!$A$6:$A$105,0)),""))</f>
        <v/>
      </c>
      <c r="D241" s="25" t="n"/>
      <c r="E241" s="25" t="n"/>
      <c r="F241" s="25" t="n"/>
      <c r="G241" s="29" t="n"/>
      <c r="H241" s="29" t="n"/>
      <c r="I241" s="19">
        <f>IF(COUNT(G241:H241)=0,"",$B$2+SUM(G$6:G241)-SUM(H$6:H241))</f>
        <v/>
      </c>
    </row>
    <row r="242">
      <c r="A242" s="45" t="n"/>
      <c r="B242" s="25" t="n"/>
      <c r="C242" s="17">
        <f>IF(B242="","",IFERROR(INDEX('案件台帳'!$B$6:$B$105,MATCH(B242,'案件台帳'!$A$6:$A$105,0)),""))</f>
        <v/>
      </c>
      <c r="D242" s="25" t="n"/>
      <c r="E242" s="25" t="n"/>
      <c r="F242" s="25" t="n"/>
      <c r="G242" s="29" t="n"/>
      <c r="H242" s="29" t="n"/>
      <c r="I242" s="19">
        <f>IF(COUNT(G242:H242)=0,"",$B$2+SUM(G$6:G242)-SUM(H$6:H242))</f>
        <v/>
      </c>
    </row>
    <row r="243">
      <c r="A243" s="45" t="n"/>
      <c r="B243" s="25" t="n"/>
      <c r="C243" s="17">
        <f>IF(B243="","",IFERROR(INDEX('案件台帳'!$B$6:$B$105,MATCH(B243,'案件台帳'!$A$6:$A$105,0)),""))</f>
        <v/>
      </c>
      <c r="D243" s="25" t="n"/>
      <c r="E243" s="25" t="n"/>
      <c r="F243" s="25" t="n"/>
      <c r="G243" s="29" t="n"/>
      <c r="H243" s="29" t="n"/>
      <c r="I243" s="19">
        <f>IF(COUNT(G243:H243)=0,"",$B$2+SUM(G$6:G243)-SUM(H$6:H243))</f>
        <v/>
      </c>
    </row>
    <row r="244">
      <c r="A244" s="45" t="n"/>
      <c r="B244" s="25" t="n"/>
      <c r="C244" s="17">
        <f>IF(B244="","",IFERROR(INDEX('案件台帳'!$B$6:$B$105,MATCH(B244,'案件台帳'!$A$6:$A$105,0)),""))</f>
        <v/>
      </c>
      <c r="D244" s="25" t="n"/>
      <c r="E244" s="25" t="n"/>
      <c r="F244" s="25" t="n"/>
      <c r="G244" s="29" t="n"/>
      <c r="H244" s="29" t="n"/>
      <c r="I244" s="19">
        <f>IF(COUNT(G244:H244)=0,"",$B$2+SUM(G$6:G244)-SUM(H$6:H244))</f>
        <v/>
      </c>
    </row>
    <row r="245">
      <c r="A245" s="45" t="n"/>
      <c r="B245" s="25" t="n"/>
      <c r="C245" s="17">
        <f>IF(B245="","",IFERROR(INDEX('案件台帳'!$B$6:$B$105,MATCH(B245,'案件台帳'!$A$6:$A$105,0)),""))</f>
        <v/>
      </c>
      <c r="D245" s="25" t="n"/>
      <c r="E245" s="25" t="n"/>
      <c r="F245" s="25" t="n"/>
      <c r="G245" s="29" t="n"/>
      <c r="H245" s="29" t="n"/>
      <c r="I245" s="19">
        <f>IF(COUNT(G245:H245)=0,"",$B$2+SUM(G$6:G245)-SUM(H$6:H245))</f>
        <v/>
      </c>
    </row>
    <row r="246">
      <c r="A246" s="45" t="n"/>
      <c r="B246" s="25" t="n"/>
      <c r="C246" s="17">
        <f>IF(B246="","",IFERROR(INDEX('案件台帳'!$B$6:$B$105,MATCH(B246,'案件台帳'!$A$6:$A$105,0)),""))</f>
        <v/>
      </c>
      <c r="D246" s="25" t="n"/>
      <c r="E246" s="25" t="n"/>
      <c r="F246" s="25" t="n"/>
      <c r="G246" s="29" t="n"/>
      <c r="H246" s="29" t="n"/>
      <c r="I246" s="19">
        <f>IF(COUNT(G246:H246)=0,"",$B$2+SUM(G$6:G246)-SUM(H$6:H246))</f>
        <v/>
      </c>
    </row>
    <row r="247">
      <c r="A247" s="45" t="n"/>
      <c r="B247" s="25" t="n"/>
      <c r="C247" s="17">
        <f>IF(B247="","",IFERROR(INDEX('案件台帳'!$B$6:$B$105,MATCH(B247,'案件台帳'!$A$6:$A$105,0)),""))</f>
        <v/>
      </c>
      <c r="D247" s="25" t="n"/>
      <c r="E247" s="25" t="n"/>
      <c r="F247" s="25" t="n"/>
      <c r="G247" s="29" t="n"/>
      <c r="H247" s="29" t="n"/>
      <c r="I247" s="19">
        <f>IF(COUNT(G247:H247)=0,"",$B$2+SUM(G$6:G247)-SUM(H$6:H247))</f>
        <v/>
      </c>
    </row>
    <row r="248">
      <c r="A248" s="45" t="n"/>
      <c r="B248" s="25" t="n"/>
      <c r="C248" s="17">
        <f>IF(B248="","",IFERROR(INDEX('案件台帳'!$B$6:$B$105,MATCH(B248,'案件台帳'!$A$6:$A$105,0)),""))</f>
        <v/>
      </c>
      <c r="D248" s="25" t="n"/>
      <c r="E248" s="25" t="n"/>
      <c r="F248" s="25" t="n"/>
      <c r="G248" s="29" t="n"/>
      <c r="H248" s="29" t="n"/>
      <c r="I248" s="19">
        <f>IF(COUNT(G248:H248)=0,"",$B$2+SUM(G$6:G248)-SUM(H$6:H248))</f>
        <v/>
      </c>
    </row>
    <row r="249">
      <c r="A249" s="45" t="n"/>
      <c r="B249" s="25" t="n"/>
      <c r="C249" s="17">
        <f>IF(B249="","",IFERROR(INDEX('案件台帳'!$B$6:$B$105,MATCH(B249,'案件台帳'!$A$6:$A$105,0)),""))</f>
        <v/>
      </c>
      <c r="D249" s="25" t="n"/>
      <c r="E249" s="25" t="n"/>
      <c r="F249" s="25" t="n"/>
      <c r="G249" s="29" t="n"/>
      <c r="H249" s="29" t="n"/>
      <c r="I249" s="19">
        <f>IF(COUNT(G249:H249)=0,"",$B$2+SUM(G$6:G249)-SUM(H$6:H249))</f>
        <v/>
      </c>
    </row>
    <row r="250">
      <c r="A250" s="45" t="n"/>
      <c r="B250" s="25" t="n"/>
      <c r="C250" s="17">
        <f>IF(B250="","",IFERROR(INDEX('案件台帳'!$B$6:$B$105,MATCH(B250,'案件台帳'!$A$6:$A$105,0)),""))</f>
        <v/>
      </c>
      <c r="D250" s="25" t="n"/>
      <c r="E250" s="25" t="n"/>
      <c r="F250" s="25" t="n"/>
      <c r="G250" s="29" t="n"/>
      <c r="H250" s="29" t="n"/>
      <c r="I250" s="19">
        <f>IF(COUNT(G250:H250)=0,"",$B$2+SUM(G$6:G250)-SUM(H$6:H250))</f>
        <v/>
      </c>
    </row>
    <row r="251">
      <c r="A251" s="45" t="n"/>
      <c r="B251" s="25" t="n"/>
      <c r="C251" s="17">
        <f>IF(B251="","",IFERROR(INDEX('案件台帳'!$B$6:$B$105,MATCH(B251,'案件台帳'!$A$6:$A$105,0)),""))</f>
        <v/>
      </c>
      <c r="D251" s="25" t="n"/>
      <c r="E251" s="25" t="n"/>
      <c r="F251" s="25" t="n"/>
      <c r="G251" s="29" t="n"/>
      <c r="H251" s="29" t="n"/>
      <c r="I251" s="19">
        <f>IF(COUNT(G251:H251)=0,"",$B$2+SUM(G$6:G251)-SUM(H$6:H251))</f>
        <v/>
      </c>
    </row>
    <row r="252">
      <c r="A252" s="45" t="n"/>
      <c r="B252" s="25" t="n"/>
      <c r="C252" s="17">
        <f>IF(B252="","",IFERROR(INDEX('案件台帳'!$B$6:$B$105,MATCH(B252,'案件台帳'!$A$6:$A$105,0)),""))</f>
        <v/>
      </c>
      <c r="D252" s="25" t="n"/>
      <c r="E252" s="25" t="n"/>
      <c r="F252" s="25" t="n"/>
      <c r="G252" s="29" t="n"/>
      <c r="H252" s="29" t="n"/>
      <c r="I252" s="19">
        <f>IF(COUNT(G252:H252)=0,"",$B$2+SUM(G$6:G252)-SUM(H$6:H252))</f>
        <v/>
      </c>
    </row>
    <row r="253">
      <c r="A253" s="45" t="n"/>
      <c r="B253" s="25" t="n"/>
      <c r="C253" s="17">
        <f>IF(B253="","",IFERROR(INDEX('案件台帳'!$B$6:$B$105,MATCH(B253,'案件台帳'!$A$6:$A$105,0)),""))</f>
        <v/>
      </c>
      <c r="D253" s="25" t="n"/>
      <c r="E253" s="25" t="n"/>
      <c r="F253" s="25" t="n"/>
      <c r="G253" s="29" t="n"/>
      <c r="H253" s="29" t="n"/>
      <c r="I253" s="19">
        <f>IF(COUNT(G253:H253)=0,"",$B$2+SUM(G$6:G253)-SUM(H$6:H253))</f>
        <v/>
      </c>
    </row>
    <row r="254">
      <c r="A254" s="45" t="n"/>
      <c r="B254" s="25" t="n"/>
      <c r="C254" s="17">
        <f>IF(B254="","",IFERROR(INDEX('案件台帳'!$B$6:$B$105,MATCH(B254,'案件台帳'!$A$6:$A$105,0)),""))</f>
        <v/>
      </c>
      <c r="D254" s="25" t="n"/>
      <c r="E254" s="25" t="n"/>
      <c r="F254" s="25" t="n"/>
      <c r="G254" s="29" t="n"/>
      <c r="H254" s="29" t="n"/>
      <c r="I254" s="19">
        <f>IF(COUNT(G254:H254)=0,"",$B$2+SUM(G$6:G254)-SUM(H$6:H254))</f>
        <v/>
      </c>
    </row>
    <row r="255">
      <c r="A255" s="45" t="n"/>
      <c r="B255" s="25" t="n"/>
      <c r="C255" s="17">
        <f>IF(B255="","",IFERROR(INDEX('案件台帳'!$B$6:$B$105,MATCH(B255,'案件台帳'!$A$6:$A$105,0)),""))</f>
        <v/>
      </c>
      <c r="D255" s="25" t="n"/>
      <c r="E255" s="25" t="n"/>
      <c r="F255" s="25" t="n"/>
      <c r="G255" s="29" t="n"/>
      <c r="H255" s="29" t="n"/>
      <c r="I255" s="19">
        <f>IF(COUNT(G255:H255)=0,"",$B$2+SUM(G$6:G255)-SUM(H$6:H255))</f>
        <v/>
      </c>
    </row>
    <row r="256">
      <c r="A256" s="45" t="n"/>
      <c r="B256" s="25" t="n"/>
      <c r="C256" s="17">
        <f>IF(B256="","",IFERROR(INDEX('案件台帳'!$B$6:$B$105,MATCH(B256,'案件台帳'!$A$6:$A$105,0)),""))</f>
        <v/>
      </c>
      <c r="D256" s="25" t="n"/>
      <c r="E256" s="25" t="n"/>
      <c r="F256" s="25" t="n"/>
      <c r="G256" s="29" t="n"/>
      <c r="H256" s="29" t="n"/>
      <c r="I256" s="19">
        <f>IF(COUNT(G256:H256)=0,"",$B$2+SUM(G$6:G256)-SUM(H$6:H256))</f>
        <v/>
      </c>
    </row>
    <row r="257">
      <c r="A257" s="45" t="n"/>
      <c r="B257" s="25" t="n"/>
      <c r="C257" s="17">
        <f>IF(B257="","",IFERROR(INDEX('案件台帳'!$B$6:$B$105,MATCH(B257,'案件台帳'!$A$6:$A$105,0)),""))</f>
        <v/>
      </c>
      <c r="D257" s="25" t="n"/>
      <c r="E257" s="25" t="n"/>
      <c r="F257" s="25" t="n"/>
      <c r="G257" s="29" t="n"/>
      <c r="H257" s="29" t="n"/>
      <c r="I257" s="19">
        <f>IF(COUNT(G257:H257)=0,"",$B$2+SUM(G$6:G257)-SUM(H$6:H257))</f>
        <v/>
      </c>
    </row>
    <row r="258">
      <c r="A258" s="45" t="n"/>
      <c r="B258" s="25" t="n"/>
      <c r="C258" s="17">
        <f>IF(B258="","",IFERROR(INDEX('案件台帳'!$B$6:$B$105,MATCH(B258,'案件台帳'!$A$6:$A$105,0)),""))</f>
        <v/>
      </c>
      <c r="D258" s="25" t="n"/>
      <c r="E258" s="25" t="n"/>
      <c r="F258" s="25" t="n"/>
      <c r="G258" s="29" t="n"/>
      <c r="H258" s="29" t="n"/>
      <c r="I258" s="19">
        <f>IF(COUNT(G258:H258)=0,"",$B$2+SUM(G$6:G258)-SUM(H$6:H258))</f>
        <v/>
      </c>
    </row>
    <row r="259">
      <c r="A259" s="45" t="n"/>
      <c r="B259" s="25" t="n"/>
      <c r="C259" s="17">
        <f>IF(B259="","",IFERROR(INDEX('案件台帳'!$B$6:$B$105,MATCH(B259,'案件台帳'!$A$6:$A$105,0)),""))</f>
        <v/>
      </c>
      <c r="D259" s="25" t="n"/>
      <c r="E259" s="25" t="n"/>
      <c r="F259" s="25" t="n"/>
      <c r="G259" s="29" t="n"/>
      <c r="H259" s="29" t="n"/>
      <c r="I259" s="19">
        <f>IF(COUNT(G259:H259)=0,"",$B$2+SUM(G$6:G259)-SUM(H$6:H259))</f>
        <v/>
      </c>
    </row>
    <row r="260">
      <c r="A260" s="45" t="n"/>
      <c r="B260" s="25" t="n"/>
      <c r="C260" s="17">
        <f>IF(B260="","",IFERROR(INDEX('案件台帳'!$B$6:$B$105,MATCH(B260,'案件台帳'!$A$6:$A$105,0)),""))</f>
        <v/>
      </c>
      <c r="D260" s="25" t="n"/>
      <c r="E260" s="25" t="n"/>
      <c r="F260" s="25" t="n"/>
      <c r="G260" s="29" t="n"/>
      <c r="H260" s="29" t="n"/>
      <c r="I260" s="19">
        <f>IF(COUNT(G260:H260)=0,"",$B$2+SUM(G$6:G260)-SUM(H$6:H260))</f>
        <v/>
      </c>
    </row>
    <row r="261">
      <c r="A261" s="45" t="n"/>
      <c r="B261" s="25" t="n"/>
      <c r="C261" s="17">
        <f>IF(B261="","",IFERROR(INDEX('案件台帳'!$B$6:$B$105,MATCH(B261,'案件台帳'!$A$6:$A$105,0)),""))</f>
        <v/>
      </c>
      <c r="D261" s="25" t="n"/>
      <c r="E261" s="25" t="n"/>
      <c r="F261" s="25" t="n"/>
      <c r="G261" s="29" t="n"/>
      <c r="H261" s="29" t="n"/>
      <c r="I261" s="19">
        <f>IF(COUNT(G261:H261)=0,"",$B$2+SUM(G$6:G261)-SUM(H$6:H261))</f>
        <v/>
      </c>
    </row>
    <row r="262">
      <c r="A262" s="45" t="n"/>
      <c r="B262" s="25" t="n"/>
      <c r="C262" s="17">
        <f>IF(B262="","",IFERROR(INDEX('案件台帳'!$B$6:$B$105,MATCH(B262,'案件台帳'!$A$6:$A$105,0)),""))</f>
        <v/>
      </c>
      <c r="D262" s="25" t="n"/>
      <c r="E262" s="25" t="n"/>
      <c r="F262" s="25" t="n"/>
      <c r="G262" s="29" t="n"/>
      <c r="H262" s="29" t="n"/>
      <c r="I262" s="19">
        <f>IF(COUNT(G262:H262)=0,"",$B$2+SUM(G$6:G262)-SUM(H$6:H262))</f>
        <v/>
      </c>
    </row>
    <row r="263">
      <c r="A263" s="45" t="n"/>
      <c r="B263" s="25" t="n"/>
      <c r="C263" s="17">
        <f>IF(B263="","",IFERROR(INDEX('案件台帳'!$B$6:$B$105,MATCH(B263,'案件台帳'!$A$6:$A$105,0)),""))</f>
        <v/>
      </c>
      <c r="D263" s="25" t="n"/>
      <c r="E263" s="25" t="n"/>
      <c r="F263" s="25" t="n"/>
      <c r="G263" s="29" t="n"/>
      <c r="H263" s="29" t="n"/>
      <c r="I263" s="19">
        <f>IF(COUNT(G263:H263)=0,"",$B$2+SUM(G$6:G263)-SUM(H$6:H263))</f>
        <v/>
      </c>
    </row>
    <row r="264">
      <c r="A264" s="45" t="n"/>
      <c r="B264" s="25" t="n"/>
      <c r="C264" s="17">
        <f>IF(B264="","",IFERROR(INDEX('案件台帳'!$B$6:$B$105,MATCH(B264,'案件台帳'!$A$6:$A$105,0)),""))</f>
        <v/>
      </c>
      <c r="D264" s="25" t="n"/>
      <c r="E264" s="25" t="n"/>
      <c r="F264" s="25" t="n"/>
      <c r="G264" s="29" t="n"/>
      <c r="H264" s="29" t="n"/>
      <c r="I264" s="19">
        <f>IF(COUNT(G264:H264)=0,"",$B$2+SUM(G$6:G264)-SUM(H$6:H264))</f>
        <v/>
      </c>
    </row>
    <row r="265">
      <c r="A265" s="45" t="n"/>
      <c r="B265" s="25" t="n"/>
      <c r="C265" s="17">
        <f>IF(B265="","",IFERROR(INDEX('案件台帳'!$B$6:$B$105,MATCH(B265,'案件台帳'!$A$6:$A$105,0)),""))</f>
        <v/>
      </c>
      <c r="D265" s="25" t="n"/>
      <c r="E265" s="25" t="n"/>
      <c r="F265" s="25" t="n"/>
      <c r="G265" s="29" t="n"/>
      <c r="H265" s="29" t="n"/>
      <c r="I265" s="19">
        <f>IF(COUNT(G265:H265)=0,"",$B$2+SUM(G$6:G265)-SUM(H$6:H265))</f>
        <v/>
      </c>
    </row>
    <row r="266">
      <c r="A266" s="45" t="n"/>
      <c r="B266" s="25" t="n"/>
      <c r="C266" s="17">
        <f>IF(B266="","",IFERROR(INDEX('案件台帳'!$B$6:$B$105,MATCH(B266,'案件台帳'!$A$6:$A$105,0)),""))</f>
        <v/>
      </c>
      <c r="D266" s="25" t="n"/>
      <c r="E266" s="25" t="n"/>
      <c r="F266" s="25" t="n"/>
      <c r="G266" s="29" t="n"/>
      <c r="H266" s="29" t="n"/>
      <c r="I266" s="19">
        <f>IF(COUNT(G266:H266)=0,"",$B$2+SUM(G$6:G266)-SUM(H$6:H266))</f>
        <v/>
      </c>
    </row>
    <row r="267">
      <c r="A267" s="45" t="n"/>
      <c r="B267" s="25" t="n"/>
      <c r="C267" s="17">
        <f>IF(B267="","",IFERROR(INDEX('案件台帳'!$B$6:$B$105,MATCH(B267,'案件台帳'!$A$6:$A$105,0)),""))</f>
        <v/>
      </c>
      <c r="D267" s="25" t="n"/>
      <c r="E267" s="25" t="n"/>
      <c r="F267" s="25" t="n"/>
      <c r="G267" s="29" t="n"/>
      <c r="H267" s="29" t="n"/>
      <c r="I267" s="19">
        <f>IF(COUNT(G267:H267)=0,"",$B$2+SUM(G$6:G267)-SUM(H$6:H267))</f>
        <v/>
      </c>
    </row>
    <row r="268">
      <c r="A268" s="45" t="n"/>
      <c r="B268" s="25" t="n"/>
      <c r="C268" s="17">
        <f>IF(B268="","",IFERROR(INDEX('案件台帳'!$B$6:$B$105,MATCH(B268,'案件台帳'!$A$6:$A$105,0)),""))</f>
        <v/>
      </c>
      <c r="D268" s="25" t="n"/>
      <c r="E268" s="25" t="n"/>
      <c r="F268" s="25" t="n"/>
      <c r="G268" s="29" t="n"/>
      <c r="H268" s="29" t="n"/>
      <c r="I268" s="19">
        <f>IF(COUNT(G268:H268)=0,"",$B$2+SUM(G$6:G268)-SUM(H$6:H268))</f>
        <v/>
      </c>
    </row>
    <row r="269">
      <c r="A269" s="45" t="n"/>
      <c r="B269" s="25" t="n"/>
      <c r="C269" s="17">
        <f>IF(B269="","",IFERROR(INDEX('案件台帳'!$B$6:$B$105,MATCH(B269,'案件台帳'!$A$6:$A$105,0)),""))</f>
        <v/>
      </c>
      <c r="D269" s="25" t="n"/>
      <c r="E269" s="25" t="n"/>
      <c r="F269" s="25" t="n"/>
      <c r="G269" s="29" t="n"/>
      <c r="H269" s="29" t="n"/>
      <c r="I269" s="19">
        <f>IF(COUNT(G269:H269)=0,"",$B$2+SUM(G$6:G269)-SUM(H$6:H269))</f>
        <v/>
      </c>
    </row>
    <row r="270">
      <c r="A270" s="45" t="n"/>
      <c r="B270" s="25" t="n"/>
      <c r="C270" s="17">
        <f>IF(B270="","",IFERROR(INDEX('案件台帳'!$B$6:$B$105,MATCH(B270,'案件台帳'!$A$6:$A$105,0)),""))</f>
        <v/>
      </c>
      <c r="D270" s="25" t="n"/>
      <c r="E270" s="25" t="n"/>
      <c r="F270" s="25" t="n"/>
      <c r="G270" s="29" t="n"/>
      <c r="H270" s="29" t="n"/>
      <c r="I270" s="19">
        <f>IF(COUNT(G270:H270)=0,"",$B$2+SUM(G$6:G270)-SUM(H$6:H270))</f>
        <v/>
      </c>
    </row>
    <row r="271">
      <c r="A271" s="45" t="n"/>
      <c r="B271" s="25" t="n"/>
      <c r="C271" s="17">
        <f>IF(B271="","",IFERROR(INDEX('案件台帳'!$B$6:$B$105,MATCH(B271,'案件台帳'!$A$6:$A$105,0)),""))</f>
        <v/>
      </c>
      <c r="D271" s="25" t="n"/>
      <c r="E271" s="25" t="n"/>
      <c r="F271" s="25" t="n"/>
      <c r="G271" s="29" t="n"/>
      <c r="H271" s="29" t="n"/>
      <c r="I271" s="19">
        <f>IF(COUNT(G271:H271)=0,"",$B$2+SUM(G$6:G271)-SUM(H$6:H271))</f>
        <v/>
      </c>
    </row>
    <row r="272">
      <c r="A272" s="45" t="n"/>
      <c r="B272" s="25" t="n"/>
      <c r="C272" s="17">
        <f>IF(B272="","",IFERROR(INDEX('案件台帳'!$B$6:$B$105,MATCH(B272,'案件台帳'!$A$6:$A$105,0)),""))</f>
        <v/>
      </c>
      <c r="D272" s="25" t="n"/>
      <c r="E272" s="25" t="n"/>
      <c r="F272" s="25" t="n"/>
      <c r="G272" s="29" t="n"/>
      <c r="H272" s="29" t="n"/>
      <c r="I272" s="19">
        <f>IF(COUNT(G272:H272)=0,"",$B$2+SUM(G$6:G272)-SUM(H$6:H272))</f>
        <v/>
      </c>
    </row>
    <row r="273">
      <c r="A273" s="45" t="n"/>
      <c r="B273" s="25" t="n"/>
      <c r="C273" s="17">
        <f>IF(B273="","",IFERROR(INDEX('案件台帳'!$B$6:$B$105,MATCH(B273,'案件台帳'!$A$6:$A$105,0)),""))</f>
        <v/>
      </c>
      <c r="D273" s="25" t="n"/>
      <c r="E273" s="25" t="n"/>
      <c r="F273" s="25" t="n"/>
      <c r="G273" s="29" t="n"/>
      <c r="H273" s="29" t="n"/>
      <c r="I273" s="19">
        <f>IF(COUNT(G273:H273)=0,"",$B$2+SUM(G$6:G273)-SUM(H$6:H273))</f>
        <v/>
      </c>
    </row>
    <row r="274">
      <c r="A274" s="45" t="n"/>
      <c r="B274" s="25" t="n"/>
      <c r="C274" s="17">
        <f>IF(B274="","",IFERROR(INDEX('案件台帳'!$B$6:$B$105,MATCH(B274,'案件台帳'!$A$6:$A$105,0)),""))</f>
        <v/>
      </c>
      <c r="D274" s="25" t="n"/>
      <c r="E274" s="25" t="n"/>
      <c r="F274" s="25" t="n"/>
      <c r="G274" s="29" t="n"/>
      <c r="H274" s="29" t="n"/>
      <c r="I274" s="19">
        <f>IF(COUNT(G274:H274)=0,"",$B$2+SUM(G$6:G274)-SUM(H$6:H274))</f>
        <v/>
      </c>
    </row>
    <row r="275">
      <c r="A275" s="45" t="n"/>
      <c r="B275" s="25" t="n"/>
      <c r="C275" s="17">
        <f>IF(B275="","",IFERROR(INDEX('案件台帳'!$B$6:$B$105,MATCH(B275,'案件台帳'!$A$6:$A$105,0)),""))</f>
        <v/>
      </c>
      <c r="D275" s="25" t="n"/>
      <c r="E275" s="25" t="n"/>
      <c r="F275" s="25" t="n"/>
      <c r="G275" s="29" t="n"/>
      <c r="H275" s="29" t="n"/>
      <c r="I275" s="19">
        <f>IF(COUNT(G275:H275)=0,"",$B$2+SUM(G$6:G275)-SUM(H$6:H275))</f>
        <v/>
      </c>
    </row>
    <row r="276">
      <c r="A276" s="45" t="n"/>
      <c r="B276" s="25" t="n"/>
      <c r="C276" s="17">
        <f>IF(B276="","",IFERROR(INDEX('案件台帳'!$B$6:$B$105,MATCH(B276,'案件台帳'!$A$6:$A$105,0)),""))</f>
        <v/>
      </c>
      <c r="D276" s="25" t="n"/>
      <c r="E276" s="25" t="n"/>
      <c r="F276" s="25" t="n"/>
      <c r="G276" s="29" t="n"/>
      <c r="H276" s="29" t="n"/>
      <c r="I276" s="19">
        <f>IF(COUNT(G276:H276)=0,"",$B$2+SUM(G$6:G276)-SUM(H$6:H276))</f>
        <v/>
      </c>
    </row>
    <row r="277">
      <c r="A277" s="45" t="n"/>
      <c r="B277" s="25" t="n"/>
      <c r="C277" s="17">
        <f>IF(B277="","",IFERROR(INDEX('案件台帳'!$B$6:$B$105,MATCH(B277,'案件台帳'!$A$6:$A$105,0)),""))</f>
        <v/>
      </c>
      <c r="D277" s="25" t="n"/>
      <c r="E277" s="25" t="n"/>
      <c r="F277" s="25" t="n"/>
      <c r="G277" s="29" t="n"/>
      <c r="H277" s="29" t="n"/>
      <c r="I277" s="19">
        <f>IF(COUNT(G277:H277)=0,"",$B$2+SUM(G$6:G277)-SUM(H$6:H277))</f>
        <v/>
      </c>
    </row>
    <row r="278">
      <c r="A278" s="45" t="n"/>
      <c r="B278" s="25" t="n"/>
      <c r="C278" s="17">
        <f>IF(B278="","",IFERROR(INDEX('案件台帳'!$B$6:$B$105,MATCH(B278,'案件台帳'!$A$6:$A$105,0)),""))</f>
        <v/>
      </c>
      <c r="D278" s="25" t="n"/>
      <c r="E278" s="25" t="n"/>
      <c r="F278" s="25" t="n"/>
      <c r="G278" s="29" t="n"/>
      <c r="H278" s="29" t="n"/>
      <c r="I278" s="19">
        <f>IF(COUNT(G278:H278)=0,"",$B$2+SUM(G$6:G278)-SUM(H$6:H278))</f>
        <v/>
      </c>
    </row>
    <row r="279">
      <c r="A279" s="45" t="n"/>
      <c r="B279" s="25" t="n"/>
      <c r="C279" s="17">
        <f>IF(B279="","",IFERROR(INDEX('案件台帳'!$B$6:$B$105,MATCH(B279,'案件台帳'!$A$6:$A$105,0)),""))</f>
        <v/>
      </c>
      <c r="D279" s="25" t="n"/>
      <c r="E279" s="25" t="n"/>
      <c r="F279" s="25" t="n"/>
      <c r="G279" s="29" t="n"/>
      <c r="H279" s="29" t="n"/>
      <c r="I279" s="19">
        <f>IF(COUNT(G279:H279)=0,"",$B$2+SUM(G$6:G279)-SUM(H$6:H279))</f>
        <v/>
      </c>
    </row>
    <row r="280">
      <c r="A280" s="45" t="n"/>
      <c r="B280" s="25" t="n"/>
      <c r="C280" s="17">
        <f>IF(B280="","",IFERROR(INDEX('案件台帳'!$B$6:$B$105,MATCH(B280,'案件台帳'!$A$6:$A$105,0)),""))</f>
        <v/>
      </c>
      <c r="D280" s="25" t="n"/>
      <c r="E280" s="25" t="n"/>
      <c r="F280" s="25" t="n"/>
      <c r="G280" s="29" t="n"/>
      <c r="H280" s="29" t="n"/>
      <c r="I280" s="19">
        <f>IF(COUNT(G280:H280)=0,"",$B$2+SUM(G$6:G280)-SUM(H$6:H280))</f>
        <v/>
      </c>
    </row>
    <row r="281">
      <c r="A281" s="45" t="n"/>
      <c r="B281" s="25" t="n"/>
      <c r="C281" s="17">
        <f>IF(B281="","",IFERROR(INDEX('案件台帳'!$B$6:$B$105,MATCH(B281,'案件台帳'!$A$6:$A$105,0)),""))</f>
        <v/>
      </c>
      <c r="D281" s="25" t="n"/>
      <c r="E281" s="25" t="n"/>
      <c r="F281" s="25" t="n"/>
      <c r="G281" s="29" t="n"/>
      <c r="H281" s="29" t="n"/>
      <c r="I281" s="19">
        <f>IF(COUNT(G281:H281)=0,"",$B$2+SUM(G$6:G281)-SUM(H$6:H281))</f>
        <v/>
      </c>
    </row>
    <row r="282">
      <c r="A282" s="45" t="n"/>
      <c r="B282" s="25" t="n"/>
      <c r="C282" s="17">
        <f>IF(B282="","",IFERROR(INDEX('案件台帳'!$B$6:$B$105,MATCH(B282,'案件台帳'!$A$6:$A$105,0)),""))</f>
        <v/>
      </c>
      <c r="D282" s="25" t="n"/>
      <c r="E282" s="25" t="n"/>
      <c r="F282" s="25" t="n"/>
      <c r="G282" s="29" t="n"/>
      <c r="H282" s="29" t="n"/>
      <c r="I282" s="19">
        <f>IF(COUNT(G282:H282)=0,"",$B$2+SUM(G$6:G282)-SUM(H$6:H282))</f>
        <v/>
      </c>
    </row>
    <row r="283">
      <c r="A283" s="45" t="n"/>
      <c r="B283" s="25" t="n"/>
      <c r="C283" s="17">
        <f>IF(B283="","",IFERROR(INDEX('案件台帳'!$B$6:$B$105,MATCH(B283,'案件台帳'!$A$6:$A$105,0)),""))</f>
        <v/>
      </c>
      <c r="D283" s="25" t="n"/>
      <c r="E283" s="25" t="n"/>
      <c r="F283" s="25" t="n"/>
      <c r="G283" s="29" t="n"/>
      <c r="H283" s="29" t="n"/>
      <c r="I283" s="19">
        <f>IF(COUNT(G283:H283)=0,"",$B$2+SUM(G$6:G283)-SUM(H$6:H283))</f>
        <v/>
      </c>
    </row>
    <row r="284">
      <c r="A284" s="45" t="n"/>
      <c r="B284" s="25" t="n"/>
      <c r="C284" s="17">
        <f>IF(B284="","",IFERROR(INDEX('案件台帳'!$B$6:$B$105,MATCH(B284,'案件台帳'!$A$6:$A$105,0)),""))</f>
        <v/>
      </c>
      <c r="D284" s="25" t="n"/>
      <c r="E284" s="25" t="n"/>
      <c r="F284" s="25" t="n"/>
      <c r="G284" s="29" t="n"/>
      <c r="H284" s="29" t="n"/>
      <c r="I284" s="19">
        <f>IF(COUNT(G284:H284)=0,"",$B$2+SUM(G$6:G284)-SUM(H$6:H284))</f>
        <v/>
      </c>
    </row>
    <row r="285">
      <c r="A285" s="45" t="n"/>
      <c r="B285" s="25" t="n"/>
      <c r="C285" s="17">
        <f>IF(B285="","",IFERROR(INDEX('案件台帳'!$B$6:$B$105,MATCH(B285,'案件台帳'!$A$6:$A$105,0)),""))</f>
        <v/>
      </c>
      <c r="D285" s="25" t="n"/>
      <c r="E285" s="25" t="n"/>
      <c r="F285" s="25" t="n"/>
      <c r="G285" s="29" t="n"/>
      <c r="H285" s="29" t="n"/>
      <c r="I285" s="19">
        <f>IF(COUNT(G285:H285)=0,"",$B$2+SUM(G$6:G285)-SUM(H$6:H285))</f>
        <v/>
      </c>
    </row>
    <row r="286">
      <c r="A286" s="45" t="n"/>
      <c r="B286" s="25" t="n"/>
      <c r="C286" s="17">
        <f>IF(B286="","",IFERROR(INDEX('案件台帳'!$B$6:$B$105,MATCH(B286,'案件台帳'!$A$6:$A$105,0)),""))</f>
        <v/>
      </c>
      <c r="D286" s="25" t="n"/>
      <c r="E286" s="25" t="n"/>
      <c r="F286" s="25" t="n"/>
      <c r="G286" s="29" t="n"/>
      <c r="H286" s="29" t="n"/>
      <c r="I286" s="19">
        <f>IF(COUNT(G286:H286)=0,"",$B$2+SUM(G$6:G286)-SUM(H$6:H286))</f>
        <v/>
      </c>
    </row>
    <row r="287">
      <c r="A287" s="45" t="n"/>
      <c r="B287" s="25" t="n"/>
      <c r="C287" s="17">
        <f>IF(B287="","",IFERROR(INDEX('案件台帳'!$B$6:$B$105,MATCH(B287,'案件台帳'!$A$6:$A$105,0)),""))</f>
        <v/>
      </c>
      <c r="D287" s="25" t="n"/>
      <c r="E287" s="25" t="n"/>
      <c r="F287" s="25" t="n"/>
      <c r="G287" s="29" t="n"/>
      <c r="H287" s="29" t="n"/>
      <c r="I287" s="19">
        <f>IF(COUNT(G287:H287)=0,"",$B$2+SUM(G$6:G287)-SUM(H$6:H287))</f>
        <v/>
      </c>
    </row>
    <row r="288">
      <c r="A288" s="45" t="n"/>
      <c r="B288" s="25" t="n"/>
      <c r="C288" s="17">
        <f>IF(B288="","",IFERROR(INDEX('案件台帳'!$B$6:$B$105,MATCH(B288,'案件台帳'!$A$6:$A$105,0)),""))</f>
        <v/>
      </c>
      <c r="D288" s="25" t="n"/>
      <c r="E288" s="25" t="n"/>
      <c r="F288" s="25" t="n"/>
      <c r="G288" s="29" t="n"/>
      <c r="H288" s="29" t="n"/>
      <c r="I288" s="19">
        <f>IF(COUNT(G288:H288)=0,"",$B$2+SUM(G$6:G288)-SUM(H$6:H288))</f>
        <v/>
      </c>
    </row>
    <row r="289">
      <c r="A289" s="45" t="n"/>
      <c r="B289" s="25" t="n"/>
      <c r="C289" s="17">
        <f>IF(B289="","",IFERROR(INDEX('案件台帳'!$B$6:$B$105,MATCH(B289,'案件台帳'!$A$6:$A$105,0)),""))</f>
        <v/>
      </c>
      <c r="D289" s="25" t="n"/>
      <c r="E289" s="25" t="n"/>
      <c r="F289" s="25" t="n"/>
      <c r="G289" s="29" t="n"/>
      <c r="H289" s="29" t="n"/>
      <c r="I289" s="19">
        <f>IF(COUNT(G289:H289)=0,"",$B$2+SUM(G$6:G289)-SUM(H$6:H289))</f>
        <v/>
      </c>
    </row>
    <row r="290">
      <c r="A290" s="45" t="n"/>
      <c r="B290" s="25" t="n"/>
      <c r="C290" s="17">
        <f>IF(B290="","",IFERROR(INDEX('案件台帳'!$B$6:$B$105,MATCH(B290,'案件台帳'!$A$6:$A$105,0)),""))</f>
        <v/>
      </c>
      <c r="D290" s="25" t="n"/>
      <c r="E290" s="25" t="n"/>
      <c r="F290" s="25" t="n"/>
      <c r="G290" s="29" t="n"/>
      <c r="H290" s="29" t="n"/>
      <c r="I290" s="19">
        <f>IF(COUNT(G290:H290)=0,"",$B$2+SUM(G$6:G290)-SUM(H$6:H290))</f>
        <v/>
      </c>
    </row>
    <row r="291">
      <c r="A291" s="45" t="n"/>
      <c r="B291" s="25" t="n"/>
      <c r="C291" s="17">
        <f>IF(B291="","",IFERROR(INDEX('案件台帳'!$B$6:$B$105,MATCH(B291,'案件台帳'!$A$6:$A$105,0)),""))</f>
        <v/>
      </c>
      <c r="D291" s="25" t="n"/>
      <c r="E291" s="25" t="n"/>
      <c r="F291" s="25" t="n"/>
      <c r="G291" s="29" t="n"/>
      <c r="H291" s="29" t="n"/>
      <c r="I291" s="19">
        <f>IF(COUNT(G291:H291)=0,"",$B$2+SUM(G$6:G291)-SUM(H$6:H291))</f>
        <v/>
      </c>
    </row>
    <row r="292">
      <c r="A292" s="45" t="n"/>
      <c r="B292" s="25" t="n"/>
      <c r="C292" s="17">
        <f>IF(B292="","",IFERROR(INDEX('案件台帳'!$B$6:$B$105,MATCH(B292,'案件台帳'!$A$6:$A$105,0)),""))</f>
        <v/>
      </c>
      <c r="D292" s="25" t="n"/>
      <c r="E292" s="25" t="n"/>
      <c r="F292" s="25" t="n"/>
      <c r="G292" s="29" t="n"/>
      <c r="H292" s="29" t="n"/>
      <c r="I292" s="19">
        <f>IF(COUNT(G292:H292)=0,"",$B$2+SUM(G$6:G292)-SUM(H$6:H292))</f>
        <v/>
      </c>
    </row>
    <row r="293">
      <c r="A293" s="45" t="n"/>
      <c r="B293" s="25" t="n"/>
      <c r="C293" s="17">
        <f>IF(B293="","",IFERROR(INDEX('案件台帳'!$B$6:$B$105,MATCH(B293,'案件台帳'!$A$6:$A$105,0)),""))</f>
        <v/>
      </c>
      <c r="D293" s="25" t="n"/>
      <c r="E293" s="25" t="n"/>
      <c r="F293" s="25" t="n"/>
      <c r="G293" s="29" t="n"/>
      <c r="H293" s="29" t="n"/>
      <c r="I293" s="19">
        <f>IF(COUNT(G293:H293)=0,"",$B$2+SUM(G$6:G293)-SUM(H$6:H293))</f>
        <v/>
      </c>
    </row>
    <row r="294">
      <c r="A294" s="45" t="n"/>
      <c r="B294" s="25" t="n"/>
      <c r="C294" s="17">
        <f>IF(B294="","",IFERROR(INDEX('案件台帳'!$B$6:$B$105,MATCH(B294,'案件台帳'!$A$6:$A$105,0)),""))</f>
        <v/>
      </c>
      <c r="D294" s="25" t="n"/>
      <c r="E294" s="25" t="n"/>
      <c r="F294" s="25" t="n"/>
      <c r="G294" s="29" t="n"/>
      <c r="H294" s="29" t="n"/>
      <c r="I294" s="19">
        <f>IF(COUNT(G294:H294)=0,"",$B$2+SUM(G$6:G294)-SUM(H$6:H294))</f>
        <v/>
      </c>
    </row>
    <row r="295">
      <c r="A295" s="45" t="n"/>
      <c r="B295" s="25" t="n"/>
      <c r="C295" s="17">
        <f>IF(B295="","",IFERROR(INDEX('案件台帳'!$B$6:$B$105,MATCH(B295,'案件台帳'!$A$6:$A$105,0)),""))</f>
        <v/>
      </c>
      <c r="D295" s="25" t="n"/>
      <c r="E295" s="25" t="n"/>
      <c r="F295" s="25" t="n"/>
      <c r="G295" s="29" t="n"/>
      <c r="H295" s="29" t="n"/>
      <c r="I295" s="19">
        <f>IF(COUNT(G295:H295)=0,"",$B$2+SUM(G$6:G295)-SUM(H$6:H295))</f>
        <v/>
      </c>
    </row>
    <row r="296">
      <c r="A296" s="45" t="n"/>
      <c r="B296" s="25" t="n"/>
      <c r="C296" s="17">
        <f>IF(B296="","",IFERROR(INDEX('案件台帳'!$B$6:$B$105,MATCH(B296,'案件台帳'!$A$6:$A$105,0)),""))</f>
        <v/>
      </c>
      <c r="D296" s="25" t="n"/>
      <c r="E296" s="25" t="n"/>
      <c r="F296" s="25" t="n"/>
      <c r="G296" s="29" t="n"/>
      <c r="H296" s="29" t="n"/>
      <c r="I296" s="19">
        <f>IF(COUNT(G296:H296)=0,"",$B$2+SUM(G$6:G296)-SUM(H$6:H296))</f>
        <v/>
      </c>
    </row>
    <row r="297">
      <c r="A297" s="45" t="n"/>
      <c r="B297" s="25" t="n"/>
      <c r="C297" s="17">
        <f>IF(B297="","",IFERROR(INDEX('案件台帳'!$B$6:$B$105,MATCH(B297,'案件台帳'!$A$6:$A$105,0)),""))</f>
        <v/>
      </c>
      <c r="D297" s="25" t="n"/>
      <c r="E297" s="25" t="n"/>
      <c r="F297" s="25" t="n"/>
      <c r="G297" s="29" t="n"/>
      <c r="H297" s="29" t="n"/>
      <c r="I297" s="19">
        <f>IF(COUNT(G297:H297)=0,"",$B$2+SUM(G$6:G297)-SUM(H$6:H297))</f>
        <v/>
      </c>
    </row>
    <row r="298">
      <c r="A298" s="45" t="n"/>
      <c r="B298" s="25" t="n"/>
      <c r="C298" s="17">
        <f>IF(B298="","",IFERROR(INDEX('案件台帳'!$B$6:$B$105,MATCH(B298,'案件台帳'!$A$6:$A$105,0)),""))</f>
        <v/>
      </c>
      <c r="D298" s="25" t="n"/>
      <c r="E298" s="25" t="n"/>
      <c r="F298" s="25" t="n"/>
      <c r="G298" s="29" t="n"/>
      <c r="H298" s="29" t="n"/>
      <c r="I298" s="19">
        <f>IF(COUNT(G298:H298)=0,"",$B$2+SUM(G$6:G298)-SUM(H$6:H298))</f>
        <v/>
      </c>
    </row>
    <row r="299">
      <c r="A299" s="45" t="n"/>
      <c r="B299" s="25" t="n"/>
      <c r="C299" s="17">
        <f>IF(B299="","",IFERROR(INDEX('案件台帳'!$B$6:$B$105,MATCH(B299,'案件台帳'!$A$6:$A$105,0)),""))</f>
        <v/>
      </c>
      <c r="D299" s="25" t="n"/>
      <c r="E299" s="25" t="n"/>
      <c r="F299" s="25" t="n"/>
      <c r="G299" s="29" t="n"/>
      <c r="H299" s="29" t="n"/>
      <c r="I299" s="19">
        <f>IF(COUNT(G299:H299)=0,"",$B$2+SUM(G$6:G299)-SUM(H$6:H299))</f>
        <v/>
      </c>
    </row>
    <row r="300">
      <c r="A300" s="45" t="n"/>
      <c r="B300" s="25" t="n"/>
      <c r="C300" s="17">
        <f>IF(B300="","",IFERROR(INDEX('案件台帳'!$B$6:$B$105,MATCH(B300,'案件台帳'!$A$6:$A$105,0)),""))</f>
        <v/>
      </c>
      <c r="D300" s="25" t="n"/>
      <c r="E300" s="25" t="n"/>
      <c r="F300" s="25" t="n"/>
      <c r="G300" s="29" t="n"/>
      <c r="H300" s="29" t="n"/>
      <c r="I300" s="19">
        <f>IF(COUNT(G300:H300)=0,"",$B$2+SUM(G$6:G300)-SUM(H$6:H300))</f>
        <v/>
      </c>
    </row>
    <row r="301">
      <c r="A301" s="45" t="n"/>
      <c r="B301" s="25" t="n"/>
      <c r="C301" s="17">
        <f>IF(B301="","",IFERROR(INDEX('案件台帳'!$B$6:$B$105,MATCH(B301,'案件台帳'!$A$6:$A$105,0)),""))</f>
        <v/>
      </c>
      <c r="D301" s="25" t="n"/>
      <c r="E301" s="25" t="n"/>
      <c r="F301" s="25" t="n"/>
      <c r="G301" s="29" t="n"/>
      <c r="H301" s="29" t="n"/>
      <c r="I301" s="19">
        <f>IF(COUNT(G301:H301)=0,"",$B$2+SUM(G$6:G301)-SUM(H$6:H301))</f>
        <v/>
      </c>
    </row>
    <row r="302">
      <c r="A302" s="45" t="n"/>
      <c r="B302" s="25" t="n"/>
      <c r="C302" s="17">
        <f>IF(B302="","",IFERROR(INDEX('案件台帳'!$B$6:$B$105,MATCH(B302,'案件台帳'!$A$6:$A$105,0)),""))</f>
        <v/>
      </c>
      <c r="D302" s="25" t="n"/>
      <c r="E302" s="25" t="n"/>
      <c r="F302" s="25" t="n"/>
      <c r="G302" s="29" t="n"/>
      <c r="H302" s="29" t="n"/>
      <c r="I302" s="19">
        <f>IF(COUNT(G302:H302)=0,"",$B$2+SUM(G$6:G302)-SUM(H$6:H302))</f>
        <v/>
      </c>
    </row>
    <row r="303">
      <c r="A303" s="45" t="n"/>
      <c r="B303" s="25" t="n"/>
      <c r="C303" s="17">
        <f>IF(B303="","",IFERROR(INDEX('案件台帳'!$B$6:$B$105,MATCH(B303,'案件台帳'!$A$6:$A$105,0)),""))</f>
        <v/>
      </c>
      <c r="D303" s="25" t="n"/>
      <c r="E303" s="25" t="n"/>
      <c r="F303" s="25" t="n"/>
      <c r="G303" s="29" t="n"/>
      <c r="H303" s="29" t="n"/>
      <c r="I303" s="19">
        <f>IF(COUNT(G303:H303)=0,"",$B$2+SUM(G$6:G303)-SUM(H$6:H303))</f>
        <v/>
      </c>
    </row>
    <row r="304">
      <c r="A304" s="45" t="n"/>
      <c r="B304" s="25" t="n"/>
      <c r="C304" s="17">
        <f>IF(B304="","",IFERROR(INDEX('案件台帳'!$B$6:$B$105,MATCH(B304,'案件台帳'!$A$6:$A$105,0)),""))</f>
        <v/>
      </c>
      <c r="D304" s="25" t="n"/>
      <c r="E304" s="25" t="n"/>
      <c r="F304" s="25" t="n"/>
      <c r="G304" s="29" t="n"/>
      <c r="H304" s="29" t="n"/>
      <c r="I304" s="19">
        <f>IF(COUNT(G304:H304)=0,"",$B$2+SUM(G$6:G304)-SUM(H$6:H304))</f>
        <v/>
      </c>
    </row>
    <row r="305">
      <c r="A305" s="45" t="n"/>
      <c r="B305" s="25" t="n"/>
      <c r="C305" s="17">
        <f>IF(B305="","",IFERROR(INDEX('案件台帳'!$B$6:$B$105,MATCH(B305,'案件台帳'!$A$6:$A$105,0)),""))</f>
        <v/>
      </c>
      <c r="D305" s="25" t="n"/>
      <c r="E305" s="25" t="n"/>
      <c r="F305" s="25" t="n"/>
      <c r="G305" s="29" t="n"/>
      <c r="H305" s="29" t="n"/>
      <c r="I305" s="19">
        <f>IF(COUNT(G305:H305)=0,"",$B$2+SUM(G$6:G305)-SUM(H$6:H305))</f>
        <v/>
      </c>
    </row>
    <row r="306">
      <c r="A306" s="45" t="n"/>
      <c r="B306" s="25" t="n"/>
      <c r="C306" s="17">
        <f>IF(B306="","",IFERROR(INDEX('案件台帳'!$B$6:$B$105,MATCH(B306,'案件台帳'!$A$6:$A$105,0)),""))</f>
        <v/>
      </c>
      <c r="D306" s="25" t="n"/>
      <c r="E306" s="25" t="n"/>
      <c r="F306" s="25" t="n"/>
      <c r="G306" s="29" t="n"/>
      <c r="H306" s="29" t="n"/>
      <c r="I306" s="19">
        <f>IF(COUNT(G306:H306)=0,"",$B$2+SUM(G$6:G306)-SUM(H$6:H306))</f>
        <v/>
      </c>
    </row>
    <row r="307">
      <c r="A307" s="45" t="n"/>
      <c r="B307" s="25" t="n"/>
      <c r="C307" s="17">
        <f>IF(B307="","",IFERROR(INDEX('案件台帳'!$B$6:$B$105,MATCH(B307,'案件台帳'!$A$6:$A$105,0)),""))</f>
        <v/>
      </c>
      <c r="D307" s="25" t="n"/>
      <c r="E307" s="25" t="n"/>
      <c r="F307" s="25" t="n"/>
      <c r="G307" s="29" t="n"/>
      <c r="H307" s="29" t="n"/>
      <c r="I307" s="19">
        <f>IF(COUNT(G307:H307)=0,"",$B$2+SUM(G$6:G307)-SUM(H$6:H307))</f>
        <v/>
      </c>
    </row>
    <row r="308">
      <c r="A308" s="45" t="n"/>
      <c r="B308" s="25" t="n"/>
      <c r="C308" s="17">
        <f>IF(B308="","",IFERROR(INDEX('案件台帳'!$B$6:$B$105,MATCH(B308,'案件台帳'!$A$6:$A$105,0)),""))</f>
        <v/>
      </c>
      <c r="D308" s="25" t="n"/>
      <c r="E308" s="25" t="n"/>
      <c r="F308" s="25" t="n"/>
      <c r="G308" s="29" t="n"/>
      <c r="H308" s="29" t="n"/>
      <c r="I308" s="19">
        <f>IF(COUNT(G308:H308)=0,"",$B$2+SUM(G$6:G308)-SUM(H$6:H308))</f>
        <v/>
      </c>
    </row>
    <row r="309">
      <c r="A309" s="45" t="n"/>
      <c r="B309" s="25" t="n"/>
      <c r="C309" s="17">
        <f>IF(B309="","",IFERROR(INDEX('案件台帳'!$B$6:$B$105,MATCH(B309,'案件台帳'!$A$6:$A$105,0)),""))</f>
        <v/>
      </c>
      <c r="D309" s="25" t="n"/>
      <c r="E309" s="25" t="n"/>
      <c r="F309" s="25" t="n"/>
      <c r="G309" s="29" t="n"/>
      <c r="H309" s="29" t="n"/>
      <c r="I309" s="19">
        <f>IF(COUNT(G309:H309)=0,"",$B$2+SUM(G$6:G309)-SUM(H$6:H309))</f>
        <v/>
      </c>
    </row>
    <row r="310">
      <c r="A310" s="45" t="n"/>
      <c r="B310" s="25" t="n"/>
      <c r="C310" s="17">
        <f>IF(B310="","",IFERROR(INDEX('案件台帳'!$B$6:$B$105,MATCH(B310,'案件台帳'!$A$6:$A$105,0)),""))</f>
        <v/>
      </c>
      <c r="D310" s="25" t="n"/>
      <c r="E310" s="25" t="n"/>
      <c r="F310" s="25" t="n"/>
      <c r="G310" s="29" t="n"/>
      <c r="H310" s="29" t="n"/>
      <c r="I310" s="19">
        <f>IF(COUNT(G310:H310)=0,"",$B$2+SUM(G$6:G310)-SUM(H$6:H310))</f>
        <v/>
      </c>
    </row>
    <row r="311">
      <c r="A311" s="45" t="n"/>
      <c r="B311" s="25" t="n"/>
      <c r="C311" s="17">
        <f>IF(B311="","",IFERROR(INDEX('案件台帳'!$B$6:$B$105,MATCH(B311,'案件台帳'!$A$6:$A$105,0)),""))</f>
        <v/>
      </c>
      <c r="D311" s="25" t="n"/>
      <c r="E311" s="25" t="n"/>
      <c r="F311" s="25" t="n"/>
      <c r="G311" s="29" t="n"/>
      <c r="H311" s="29" t="n"/>
      <c r="I311" s="19">
        <f>IF(COUNT(G311:H311)=0,"",$B$2+SUM(G$6:G311)-SUM(H$6:H311))</f>
        <v/>
      </c>
    </row>
    <row r="312">
      <c r="A312" s="45" t="n"/>
      <c r="B312" s="25" t="n"/>
      <c r="C312" s="17">
        <f>IF(B312="","",IFERROR(INDEX('案件台帳'!$B$6:$B$105,MATCH(B312,'案件台帳'!$A$6:$A$105,0)),""))</f>
        <v/>
      </c>
      <c r="D312" s="25" t="n"/>
      <c r="E312" s="25" t="n"/>
      <c r="F312" s="25" t="n"/>
      <c r="G312" s="29" t="n"/>
      <c r="H312" s="29" t="n"/>
      <c r="I312" s="19">
        <f>IF(COUNT(G312:H312)=0,"",$B$2+SUM(G$6:G312)-SUM(H$6:H312))</f>
        <v/>
      </c>
    </row>
    <row r="313">
      <c r="A313" s="45" t="n"/>
      <c r="B313" s="25" t="n"/>
      <c r="C313" s="17">
        <f>IF(B313="","",IFERROR(INDEX('案件台帳'!$B$6:$B$105,MATCH(B313,'案件台帳'!$A$6:$A$105,0)),""))</f>
        <v/>
      </c>
      <c r="D313" s="25" t="n"/>
      <c r="E313" s="25" t="n"/>
      <c r="F313" s="25" t="n"/>
      <c r="G313" s="29" t="n"/>
      <c r="H313" s="29" t="n"/>
      <c r="I313" s="19">
        <f>IF(COUNT(G313:H313)=0,"",$B$2+SUM(G$6:G313)-SUM(H$6:H313))</f>
        <v/>
      </c>
    </row>
    <row r="314">
      <c r="A314" s="45" t="n"/>
      <c r="B314" s="25" t="n"/>
      <c r="C314" s="17">
        <f>IF(B314="","",IFERROR(INDEX('案件台帳'!$B$6:$B$105,MATCH(B314,'案件台帳'!$A$6:$A$105,0)),""))</f>
        <v/>
      </c>
      <c r="D314" s="25" t="n"/>
      <c r="E314" s="25" t="n"/>
      <c r="F314" s="25" t="n"/>
      <c r="G314" s="29" t="n"/>
      <c r="H314" s="29" t="n"/>
      <c r="I314" s="19">
        <f>IF(COUNT(G314:H314)=0,"",$B$2+SUM(G$6:G314)-SUM(H$6:H314))</f>
        <v/>
      </c>
    </row>
    <row r="315">
      <c r="A315" s="45" t="n"/>
      <c r="B315" s="25" t="n"/>
      <c r="C315" s="17">
        <f>IF(B315="","",IFERROR(INDEX('案件台帳'!$B$6:$B$105,MATCH(B315,'案件台帳'!$A$6:$A$105,0)),""))</f>
        <v/>
      </c>
      <c r="D315" s="25" t="n"/>
      <c r="E315" s="25" t="n"/>
      <c r="F315" s="25" t="n"/>
      <c r="G315" s="29" t="n"/>
      <c r="H315" s="29" t="n"/>
      <c r="I315" s="19">
        <f>IF(COUNT(G315:H315)=0,"",$B$2+SUM(G$6:G315)-SUM(H$6:H315))</f>
        <v/>
      </c>
    </row>
    <row r="316">
      <c r="A316" s="45" t="n"/>
      <c r="B316" s="25" t="n"/>
      <c r="C316" s="17">
        <f>IF(B316="","",IFERROR(INDEX('案件台帳'!$B$6:$B$105,MATCH(B316,'案件台帳'!$A$6:$A$105,0)),""))</f>
        <v/>
      </c>
      <c r="D316" s="25" t="n"/>
      <c r="E316" s="25" t="n"/>
      <c r="F316" s="25" t="n"/>
      <c r="G316" s="29" t="n"/>
      <c r="H316" s="29" t="n"/>
      <c r="I316" s="19">
        <f>IF(COUNT(G316:H316)=0,"",$B$2+SUM(G$6:G316)-SUM(H$6:H316))</f>
        <v/>
      </c>
    </row>
    <row r="317">
      <c r="A317" s="45" t="n"/>
      <c r="B317" s="25" t="n"/>
      <c r="C317" s="17">
        <f>IF(B317="","",IFERROR(INDEX('案件台帳'!$B$6:$B$105,MATCH(B317,'案件台帳'!$A$6:$A$105,0)),""))</f>
        <v/>
      </c>
      <c r="D317" s="25" t="n"/>
      <c r="E317" s="25" t="n"/>
      <c r="F317" s="25" t="n"/>
      <c r="G317" s="29" t="n"/>
      <c r="H317" s="29" t="n"/>
      <c r="I317" s="19">
        <f>IF(COUNT(G317:H317)=0,"",$B$2+SUM(G$6:G317)-SUM(H$6:H317))</f>
        <v/>
      </c>
    </row>
    <row r="318">
      <c r="A318" s="45" t="n"/>
      <c r="B318" s="25" t="n"/>
      <c r="C318" s="17">
        <f>IF(B318="","",IFERROR(INDEX('案件台帳'!$B$6:$B$105,MATCH(B318,'案件台帳'!$A$6:$A$105,0)),""))</f>
        <v/>
      </c>
      <c r="D318" s="25" t="n"/>
      <c r="E318" s="25" t="n"/>
      <c r="F318" s="25" t="n"/>
      <c r="G318" s="29" t="n"/>
      <c r="H318" s="29" t="n"/>
      <c r="I318" s="19">
        <f>IF(COUNT(G318:H318)=0,"",$B$2+SUM(G$6:G318)-SUM(H$6:H318))</f>
        <v/>
      </c>
    </row>
    <row r="319">
      <c r="A319" s="45" t="n"/>
      <c r="B319" s="25" t="n"/>
      <c r="C319" s="17">
        <f>IF(B319="","",IFERROR(INDEX('案件台帳'!$B$6:$B$105,MATCH(B319,'案件台帳'!$A$6:$A$105,0)),""))</f>
        <v/>
      </c>
      <c r="D319" s="25" t="n"/>
      <c r="E319" s="25" t="n"/>
      <c r="F319" s="25" t="n"/>
      <c r="G319" s="29" t="n"/>
      <c r="H319" s="29" t="n"/>
      <c r="I319" s="19">
        <f>IF(COUNT(G319:H319)=0,"",$B$2+SUM(G$6:G319)-SUM(H$6:H319))</f>
        <v/>
      </c>
    </row>
    <row r="320">
      <c r="A320" s="45" t="n"/>
      <c r="B320" s="25" t="n"/>
      <c r="C320" s="17">
        <f>IF(B320="","",IFERROR(INDEX('案件台帳'!$B$6:$B$105,MATCH(B320,'案件台帳'!$A$6:$A$105,0)),""))</f>
        <v/>
      </c>
      <c r="D320" s="25" t="n"/>
      <c r="E320" s="25" t="n"/>
      <c r="F320" s="25" t="n"/>
      <c r="G320" s="29" t="n"/>
      <c r="H320" s="29" t="n"/>
      <c r="I320" s="19">
        <f>IF(COUNT(G320:H320)=0,"",$B$2+SUM(G$6:G320)-SUM(H$6:H320))</f>
        <v/>
      </c>
    </row>
    <row r="321">
      <c r="A321" s="45" t="n"/>
      <c r="B321" s="25" t="n"/>
      <c r="C321" s="17">
        <f>IF(B321="","",IFERROR(INDEX('案件台帳'!$B$6:$B$105,MATCH(B321,'案件台帳'!$A$6:$A$105,0)),""))</f>
        <v/>
      </c>
      <c r="D321" s="25" t="n"/>
      <c r="E321" s="25" t="n"/>
      <c r="F321" s="25" t="n"/>
      <c r="G321" s="29" t="n"/>
      <c r="H321" s="29" t="n"/>
      <c r="I321" s="19">
        <f>IF(COUNT(G321:H321)=0,"",$B$2+SUM(G$6:G321)-SUM(H$6:H321))</f>
        <v/>
      </c>
    </row>
    <row r="322">
      <c r="A322" s="45" t="n"/>
      <c r="B322" s="25" t="n"/>
      <c r="C322" s="17">
        <f>IF(B322="","",IFERROR(INDEX('案件台帳'!$B$6:$B$105,MATCH(B322,'案件台帳'!$A$6:$A$105,0)),""))</f>
        <v/>
      </c>
      <c r="D322" s="25" t="n"/>
      <c r="E322" s="25" t="n"/>
      <c r="F322" s="25" t="n"/>
      <c r="G322" s="29" t="n"/>
      <c r="H322" s="29" t="n"/>
      <c r="I322" s="19">
        <f>IF(COUNT(G322:H322)=0,"",$B$2+SUM(G$6:G322)-SUM(H$6:H322))</f>
        <v/>
      </c>
    </row>
    <row r="323">
      <c r="A323" s="45" t="n"/>
      <c r="B323" s="25" t="n"/>
      <c r="C323" s="17">
        <f>IF(B323="","",IFERROR(INDEX('案件台帳'!$B$6:$B$105,MATCH(B323,'案件台帳'!$A$6:$A$105,0)),""))</f>
        <v/>
      </c>
      <c r="D323" s="25" t="n"/>
      <c r="E323" s="25" t="n"/>
      <c r="F323" s="25" t="n"/>
      <c r="G323" s="29" t="n"/>
      <c r="H323" s="29" t="n"/>
      <c r="I323" s="19">
        <f>IF(COUNT(G323:H323)=0,"",$B$2+SUM(G$6:G323)-SUM(H$6:H323))</f>
        <v/>
      </c>
    </row>
    <row r="324">
      <c r="A324" s="45" t="n"/>
      <c r="B324" s="25" t="n"/>
      <c r="C324" s="17">
        <f>IF(B324="","",IFERROR(INDEX('案件台帳'!$B$6:$B$105,MATCH(B324,'案件台帳'!$A$6:$A$105,0)),""))</f>
        <v/>
      </c>
      <c r="D324" s="25" t="n"/>
      <c r="E324" s="25" t="n"/>
      <c r="F324" s="25" t="n"/>
      <c r="G324" s="29" t="n"/>
      <c r="H324" s="29" t="n"/>
      <c r="I324" s="19">
        <f>IF(COUNT(G324:H324)=0,"",$B$2+SUM(G$6:G324)-SUM(H$6:H324))</f>
        <v/>
      </c>
    </row>
    <row r="325">
      <c r="A325" s="45" t="n"/>
      <c r="B325" s="25" t="n"/>
      <c r="C325" s="17">
        <f>IF(B325="","",IFERROR(INDEX('案件台帳'!$B$6:$B$105,MATCH(B325,'案件台帳'!$A$6:$A$105,0)),""))</f>
        <v/>
      </c>
      <c r="D325" s="25" t="n"/>
      <c r="E325" s="25" t="n"/>
      <c r="F325" s="25" t="n"/>
      <c r="G325" s="29" t="n"/>
      <c r="H325" s="29" t="n"/>
      <c r="I325" s="19">
        <f>IF(COUNT(G325:H325)=0,"",$B$2+SUM(G$6:G325)-SUM(H$6:H325))</f>
        <v/>
      </c>
    </row>
    <row r="326">
      <c r="A326" s="45" t="n"/>
      <c r="B326" s="25" t="n"/>
      <c r="C326" s="17">
        <f>IF(B326="","",IFERROR(INDEX('案件台帳'!$B$6:$B$105,MATCH(B326,'案件台帳'!$A$6:$A$105,0)),""))</f>
        <v/>
      </c>
      <c r="D326" s="25" t="n"/>
      <c r="E326" s="25" t="n"/>
      <c r="F326" s="25" t="n"/>
      <c r="G326" s="29" t="n"/>
      <c r="H326" s="29" t="n"/>
      <c r="I326" s="19">
        <f>IF(COUNT(G326:H326)=0,"",$B$2+SUM(G$6:G326)-SUM(H$6:H326))</f>
        <v/>
      </c>
    </row>
    <row r="327">
      <c r="A327" s="45" t="n"/>
      <c r="B327" s="25" t="n"/>
      <c r="C327" s="17">
        <f>IF(B327="","",IFERROR(INDEX('案件台帳'!$B$6:$B$105,MATCH(B327,'案件台帳'!$A$6:$A$105,0)),""))</f>
        <v/>
      </c>
      <c r="D327" s="25" t="n"/>
      <c r="E327" s="25" t="n"/>
      <c r="F327" s="25" t="n"/>
      <c r="G327" s="29" t="n"/>
      <c r="H327" s="29" t="n"/>
      <c r="I327" s="19">
        <f>IF(COUNT(G327:H327)=0,"",$B$2+SUM(G$6:G327)-SUM(H$6:H327))</f>
        <v/>
      </c>
    </row>
    <row r="328">
      <c r="A328" s="45" t="n"/>
      <c r="B328" s="25" t="n"/>
      <c r="C328" s="17">
        <f>IF(B328="","",IFERROR(INDEX('案件台帳'!$B$6:$B$105,MATCH(B328,'案件台帳'!$A$6:$A$105,0)),""))</f>
        <v/>
      </c>
      <c r="D328" s="25" t="n"/>
      <c r="E328" s="25" t="n"/>
      <c r="F328" s="25" t="n"/>
      <c r="G328" s="29" t="n"/>
      <c r="H328" s="29" t="n"/>
      <c r="I328" s="19">
        <f>IF(COUNT(G328:H328)=0,"",$B$2+SUM(G$6:G328)-SUM(H$6:H328))</f>
        <v/>
      </c>
    </row>
    <row r="329">
      <c r="A329" s="45" t="n"/>
      <c r="B329" s="25" t="n"/>
      <c r="C329" s="17">
        <f>IF(B329="","",IFERROR(INDEX('案件台帳'!$B$6:$B$105,MATCH(B329,'案件台帳'!$A$6:$A$105,0)),""))</f>
        <v/>
      </c>
      <c r="D329" s="25" t="n"/>
      <c r="E329" s="25" t="n"/>
      <c r="F329" s="25" t="n"/>
      <c r="G329" s="29" t="n"/>
      <c r="H329" s="29" t="n"/>
      <c r="I329" s="19">
        <f>IF(COUNT(G329:H329)=0,"",$B$2+SUM(G$6:G329)-SUM(H$6:H329))</f>
        <v/>
      </c>
    </row>
    <row r="330">
      <c r="A330" s="45" t="n"/>
      <c r="B330" s="25" t="n"/>
      <c r="C330" s="17">
        <f>IF(B330="","",IFERROR(INDEX('案件台帳'!$B$6:$B$105,MATCH(B330,'案件台帳'!$A$6:$A$105,0)),""))</f>
        <v/>
      </c>
      <c r="D330" s="25" t="n"/>
      <c r="E330" s="25" t="n"/>
      <c r="F330" s="25" t="n"/>
      <c r="G330" s="29" t="n"/>
      <c r="H330" s="29" t="n"/>
      <c r="I330" s="19">
        <f>IF(COUNT(G330:H330)=0,"",$B$2+SUM(G$6:G330)-SUM(H$6:H330))</f>
        <v/>
      </c>
    </row>
    <row r="331">
      <c r="A331" s="45" t="n"/>
      <c r="B331" s="25" t="n"/>
      <c r="C331" s="17">
        <f>IF(B331="","",IFERROR(INDEX('案件台帳'!$B$6:$B$105,MATCH(B331,'案件台帳'!$A$6:$A$105,0)),""))</f>
        <v/>
      </c>
      <c r="D331" s="25" t="n"/>
      <c r="E331" s="25" t="n"/>
      <c r="F331" s="25" t="n"/>
      <c r="G331" s="29" t="n"/>
      <c r="H331" s="29" t="n"/>
      <c r="I331" s="19">
        <f>IF(COUNT(G331:H331)=0,"",$B$2+SUM(G$6:G331)-SUM(H$6:H331))</f>
        <v/>
      </c>
    </row>
    <row r="332">
      <c r="A332" s="45" t="n"/>
      <c r="B332" s="25" t="n"/>
      <c r="C332" s="17">
        <f>IF(B332="","",IFERROR(INDEX('案件台帳'!$B$6:$B$105,MATCH(B332,'案件台帳'!$A$6:$A$105,0)),""))</f>
        <v/>
      </c>
      <c r="D332" s="25" t="n"/>
      <c r="E332" s="25" t="n"/>
      <c r="F332" s="25" t="n"/>
      <c r="G332" s="29" t="n"/>
      <c r="H332" s="29" t="n"/>
      <c r="I332" s="19">
        <f>IF(COUNT(G332:H332)=0,"",$B$2+SUM(G$6:G332)-SUM(H$6:H332))</f>
        <v/>
      </c>
    </row>
    <row r="333">
      <c r="A333" s="45" t="n"/>
      <c r="B333" s="25" t="n"/>
      <c r="C333" s="17">
        <f>IF(B333="","",IFERROR(INDEX('案件台帳'!$B$6:$B$105,MATCH(B333,'案件台帳'!$A$6:$A$105,0)),""))</f>
        <v/>
      </c>
      <c r="D333" s="25" t="n"/>
      <c r="E333" s="25" t="n"/>
      <c r="F333" s="25" t="n"/>
      <c r="G333" s="29" t="n"/>
      <c r="H333" s="29" t="n"/>
      <c r="I333" s="19">
        <f>IF(COUNT(G333:H333)=0,"",$B$2+SUM(G$6:G333)-SUM(H$6:H333))</f>
        <v/>
      </c>
    </row>
    <row r="334">
      <c r="A334" s="45" t="n"/>
      <c r="B334" s="25" t="n"/>
      <c r="C334" s="17">
        <f>IF(B334="","",IFERROR(INDEX('案件台帳'!$B$6:$B$105,MATCH(B334,'案件台帳'!$A$6:$A$105,0)),""))</f>
        <v/>
      </c>
      <c r="D334" s="25" t="n"/>
      <c r="E334" s="25" t="n"/>
      <c r="F334" s="25" t="n"/>
      <c r="G334" s="29" t="n"/>
      <c r="H334" s="29" t="n"/>
      <c r="I334" s="19">
        <f>IF(COUNT(G334:H334)=0,"",$B$2+SUM(G$6:G334)-SUM(H$6:H334))</f>
        <v/>
      </c>
    </row>
    <row r="335">
      <c r="A335" s="45" t="n"/>
      <c r="B335" s="25" t="n"/>
      <c r="C335" s="17">
        <f>IF(B335="","",IFERROR(INDEX('案件台帳'!$B$6:$B$105,MATCH(B335,'案件台帳'!$A$6:$A$105,0)),""))</f>
        <v/>
      </c>
      <c r="D335" s="25" t="n"/>
      <c r="E335" s="25" t="n"/>
      <c r="F335" s="25" t="n"/>
      <c r="G335" s="29" t="n"/>
      <c r="H335" s="29" t="n"/>
      <c r="I335" s="19">
        <f>IF(COUNT(G335:H335)=0,"",$B$2+SUM(G$6:G335)-SUM(H$6:H335))</f>
        <v/>
      </c>
    </row>
    <row r="336">
      <c r="A336" s="45" t="n"/>
      <c r="B336" s="25" t="n"/>
      <c r="C336" s="17">
        <f>IF(B336="","",IFERROR(INDEX('案件台帳'!$B$6:$B$105,MATCH(B336,'案件台帳'!$A$6:$A$105,0)),""))</f>
        <v/>
      </c>
      <c r="D336" s="25" t="n"/>
      <c r="E336" s="25" t="n"/>
      <c r="F336" s="25" t="n"/>
      <c r="G336" s="29" t="n"/>
      <c r="H336" s="29" t="n"/>
      <c r="I336" s="19">
        <f>IF(COUNT(G336:H336)=0,"",$B$2+SUM(G$6:G336)-SUM(H$6:H336))</f>
        <v/>
      </c>
    </row>
    <row r="337">
      <c r="A337" s="45" t="n"/>
      <c r="B337" s="25" t="n"/>
      <c r="C337" s="17">
        <f>IF(B337="","",IFERROR(INDEX('案件台帳'!$B$6:$B$105,MATCH(B337,'案件台帳'!$A$6:$A$105,0)),""))</f>
        <v/>
      </c>
      <c r="D337" s="25" t="n"/>
      <c r="E337" s="25" t="n"/>
      <c r="F337" s="25" t="n"/>
      <c r="G337" s="29" t="n"/>
      <c r="H337" s="29" t="n"/>
      <c r="I337" s="19">
        <f>IF(COUNT(G337:H337)=0,"",$B$2+SUM(G$6:G337)-SUM(H$6:H337))</f>
        <v/>
      </c>
    </row>
    <row r="338">
      <c r="A338" s="45" t="n"/>
      <c r="B338" s="25" t="n"/>
      <c r="C338" s="17">
        <f>IF(B338="","",IFERROR(INDEX('案件台帳'!$B$6:$B$105,MATCH(B338,'案件台帳'!$A$6:$A$105,0)),""))</f>
        <v/>
      </c>
      <c r="D338" s="25" t="n"/>
      <c r="E338" s="25" t="n"/>
      <c r="F338" s="25" t="n"/>
      <c r="G338" s="29" t="n"/>
      <c r="H338" s="29" t="n"/>
      <c r="I338" s="19">
        <f>IF(COUNT(G338:H338)=0,"",$B$2+SUM(G$6:G338)-SUM(H$6:H338))</f>
        <v/>
      </c>
    </row>
    <row r="339">
      <c r="A339" s="45" t="n"/>
      <c r="B339" s="25" t="n"/>
      <c r="C339" s="17">
        <f>IF(B339="","",IFERROR(INDEX('案件台帳'!$B$6:$B$105,MATCH(B339,'案件台帳'!$A$6:$A$105,0)),""))</f>
        <v/>
      </c>
      <c r="D339" s="25" t="n"/>
      <c r="E339" s="25" t="n"/>
      <c r="F339" s="25" t="n"/>
      <c r="G339" s="29" t="n"/>
      <c r="H339" s="29" t="n"/>
      <c r="I339" s="19">
        <f>IF(COUNT(G339:H339)=0,"",$B$2+SUM(G$6:G339)-SUM(H$6:H339))</f>
        <v/>
      </c>
    </row>
    <row r="340">
      <c r="A340" s="45" t="n"/>
      <c r="B340" s="25" t="n"/>
      <c r="C340" s="17">
        <f>IF(B340="","",IFERROR(INDEX('案件台帳'!$B$6:$B$105,MATCH(B340,'案件台帳'!$A$6:$A$105,0)),""))</f>
        <v/>
      </c>
      <c r="D340" s="25" t="n"/>
      <c r="E340" s="25" t="n"/>
      <c r="F340" s="25" t="n"/>
      <c r="G340" s="29" t="n"/>
      <c r="H340" s="29" t="n"/>
      <c r="I340" s="19">
        <f>IF(COUNT(G340:H340)=0,"",$B$2+SUM(G$6:G340)-SUM(H$6:H340))</f>
        <v/>
      </c>
    </row>
    <row r="341">
      <c r="A341" s="45" t="n"/>
      <c r="B341" s="25" t="n"/>
      <c r="C341" s="17">
        <f>IF(B341="","",IFERROR(INDEX('案件台帳'!$B$6:$B$105,MATCH(B341,'案件台帳'!$A$6:$A$105,0)),""))</f>
        <v/>
      </c>
      <c r="D341" s="25" t="n"/>
      <c r="E341" s="25" t="n"/>
      <c r="F341" s="25" t="n"/>
      <c r="G341" s="29" t="n"/>
      <c r="H341" s="29" t="n"/>
      <c r="I341" s="19">
        <f>IF(COUNT(G341:H341)=0,"",$B$2+SUM(G$6:G341)-SUM(H$6:H341))</f>
        <v/>
      </c>
    </row>
    <row r="342">
      <c r="A342" s="45" t="n"/>
      <c r="B342" s="25" t="n"/>
      <c r="C342" s="17">
        <f>IF(B342="","",IFERROR(INDEX('案件台帳'!$B$6:$B$105,MATCH(B342,'案件台帳'!$A$6:$A$105,0)),""))</f>
        <v/>
      </c>
      <c r="D342" s="25" t="n"/>
      <c r="E342" s="25" t="n"/>
      <c r="F342" s="25" t="n"/>
      <c r="G342" s="29" t="n"/>
      <c r="H342" s="29" t="n"/>
      <c r="I342" s="19">
        <f>IF(COUNT(G342:H342)=0,"",$B$2+SUM(G$6:G342)-SUM(H$6:H342))</f>
        <v/>
      </c>
    </row>
    <row r="343">
      <c r="A343" s="45" t="n"/>
      <c r="B343" s="25" t="n"/>
      <c r="C343" s="17">
        <f>IF(B343="","",IFERROR(INDEX('案件台帳'!$B$6:$B$105,MATCH(B343,'案件台帳'!$A$6:$A$105,0)),""))</f>
        <v/>
      </c>
      <c r="D343" s="25" t="n"/>
      <c r="E343" s="25" t="n"/>
      <c r="F343" s="25" t="n"/>
      <c r="G343" s="29" t="n"/>
      <c r="H343" s="29" t="n"/>
      <c r="I343" s="19">
        <f>IF(COUNT(G343:H343)=0,"",$B$2+SUM(G$6:G343)-SUM(H$6:H343))</f>
        <v/>
      </c>
    </row>
    <row r="344">
      <c r="A344" s="45" t="n"/>
      <c r="B344" s="25" t="n"/>
      <c r="C344" s="17">
        <f>IF(B344="","",IFERROR(INDEX('案件台帳'!$B$6:$B$105,MATCH(B344,'案件台帳'!$A$6:$A$105,0)),""))</f>
        <v/>
      </c>
      <c r="D344" s="25" t="n"/>
      <c r="E344" s="25" t="n"/>
      <c r="F344" s="25" t="n"/>
      <c r="G344" s="29" t="n"/>
      <c r="H344" s="29" t="n"/>
      <c r="I344" s="19">
        <f>IF(COUNT(G344:H344)=0,"",$B$2+SUM(G$6:G344)-SUM(H$6:H344))</f>
        <v/>
      </c>
    </row>
    <row r="345">
      <c r="A345" s="45" t="n"/>
      <c r="B345" s="25" t="n"/>
      <c r="C345" s="17">
        <f>IF(B345="","",IFERROR(INDEX('案件台帳'!$B$6:$B$105,MATCH(B345,'案件台帳'!$A$6:$A$105,0)),""))</f>
        <v/>
      </c>
      <c r="D345" s="25" t="n"/>
      <c r="E345" s="25" t="n"/>
      <c r="F345" s="25" t="n"/>
      <c r="G345" s="29" t="n"/>
      <c r="H345" s="29" t="n"/>
      <c r="I345" s="19">
        <f>IF(COUNT(G345:H345)=0,"",$B$2+SUM(G$6:G345)-SUM(H$6:H345))</f>
        <v/>
      </c>
    </row>
    <row r="346">
      <c r="A346" s="45" t="n"/>
      <c r="B346" s="25" t="n"/>
      <c r="C346" s="17">
        <f>IF(B346="","",IFERROR(INDEX('案件台帳'!$B$6:$B$105,MATCH(B346,'案件台帳'!$A$6:$A$105,0)),""))</f>
        <v/>
      </c>
      <c r="D346" s="25" t="n"/>
      <c r="E346" s="25" t="n"/>
      <c r="F346" s="25" t="n"/>
      <c r="G346" s="29" t="n"/>
      <c r="H346" s="29" t="n"/>
      <c r="I346" s="19">
        <f>IF(COUNT(G346:H346)=0,"",$B$2+SUM(G$6:G346)-SUM(H$6:H346))</f>
        <v/>
      </c>
    </row>
    <row r="347">
      <c r="A347" s="45" t="n"/>
      <c r="B347" s="25" t="n"/>
      <c r="C347" s="17">
        <f>IF(B347="","",IFERROR(INDEX('案件台帳'!$B$6:$B$105,MATCH(B347,'案件台帳'!$A$6:$A$105,0)),""))</f>
        <v/>
      </c>
      <c r="D347" s="25" t="n"/>
      <c r="E347" s="25" t="n"/>
      <c r="F347" s="25" t="n"/>
      <c r="G347" s="29" t="n"/>
      <c r="H347" s="29" t="n"/>
      <c r="I347" s="19">
        <f>IF(COUNT(G347:H347)=0,"",$B$2+SUM(G$6:G347)-SUM(H$6:H347))</f>
        <v/>
      </c>
    </row>
    <row r="348">
      <c r="A348" s="45" t="n"/>
      <c r="B348" s="25" t="n"/>
      <c r="C348" s="17">
        <f>IF(B348="","",IFERROR(INDEX('案件台帳'!$B$6:$B$105,MATCH(B348,'案件台帳'!$A$6:$A$105,0)),""))</f>
        <v/>
      </c>
      <c r="D348" s="25" t="n"/>
      <c r="E348" s="25" t="n"/>
      <c r="F348" s="25" t="n"/>
      <c r="G348" s="29" t="n"/>
      <c r="H348" s="29" t="n"/>
      <c r="I348" s="19">
        <f>IF(COUNT(G348:H348)=0,"",$B$2+SUM(G$6:G348)-SUM(H$6:H348))</f>
        <v/>
      </c>
    </row>
    <row r="349">
      <c r="A349" s="45" t="n"/>
      <c r="B349" s="25" t="n"/>
      <c r="C349" s="17">
        <f>IF(B349="","",IFERROR(INDEX('案件台帳'!$B$6:$B$105,MATCH(B349,'案件台帳'!$A$6:$A$105,0)),""))</f>
        <v/>
      </c>
      <c r="D349" s="25" t="n"/>
      <c r="E349" s="25" t="n"/>
      <c r="F349" s="25" t="n"/>
      <c r="G349" s="29" t="n"/>
      <c r="H349" s="29" t="n"/>
      <c r="I349" s="19">
        <f>IF(COUNT(G349:H349)=0,"",$B$2+SUM(G$6:G349)-SUM(H$6:H349))</f>
        <v/>
      </c>
    </row>
    <row r="350">
      <c r="A350" s="45" t="n"/>
      <c r="B350" s="25" t="n"/>
      <c r="C350" s="17">
        <f>IF(B350="","",IFERROR(INDEX('案件台帳'!$B$6:$B$105,MATCH(B350,'案件台帳'!$A$6:$A$105,0)),""))</f>
        <v/>
      </c>
      <c r="D350" s="25" t="n"/>
      <c r="E350" s="25" t="n"/>
      <c r="F350" s="25" t="n"/>
      <c r="G350" s="29" t="n"/>
      <c r="H350" s="29" t="n"/>
      <c r="I350" s="19">
        <f>IF(COUNT(G350:H350)=0,"",$B$2+SUM(G$6:G350)-SUM(H$6:H350))</f>
        <v/>
      </c>
    </row>
    <row r="351">
      <c r="A351" s="45" t="n"/>
      <c r="B351" s="25" t="n"/>
      <c r="C351" s="17">
        <f>IF(B351="","",IFERROR(INDEX('案件台帳'!$B$6:$B$105,MATCH(B351,'案件台帳'!$A$6:$A$105,0)),""))</f>
        <v/>
      </c>
      <c r="D351" s="25" t="n"/>
      <c r="E351" s="25" t="n"/>
      <c r="F351" s="25" t="n"/>
      <c r="G351" s="29" t="n"/>
      <c r="H351" s="29" t="n"/>
      <c r="I351" s="19">
        <f>IF(COUNT(G351:H351)=0,"",$B$2+SUM(G$6:G351)-SUM(H$6:H351))</f>
        <v/>
      </c>
    </row>
    <row r="352">
      <c r="A352" s="45" t="n"/>
      <c r="B352" s="25" t="n"/>
      <c r="C352" s="17">
        <f>IF(B352="","",IFERROR(INDEX('案件台帳'!$B$6:$B$105,MATCH(B352,'案件台帳'!$A$6:$A$105,0)),""))</f>
        <v/>
      </c>
      <c r="D352" s="25" t="n"/>
      <c r="E352" s="25" t="n"/>
      <c r="F352" s="25" t="n"/>
      <c r="G352" s="29" t="n"/>
      <c r="H352" s="29" t="n"/>
      <c r="I352" s="19">
        <f>IF(COUNT(G352:H352)=0,"",$B$2+SUM(G$6:G352)-SUM(H$6:H352))</f>
        <v/>
      </c>
    </row>
    <row r="353">
      <c r="A353" s="45" t="n"/>
      <c r="B353" s="25" t="n"/>
      <c r="C353" s="17">
        <f>IF(B353="","",IFERROR(INDEX('案件台帳'!$B$6:$B$105,MATCH(B353,'案件台帳'!$A$6:$A$105,0)),""))</f>
        <v/>
      </c>
      <c r="D353" s="25" t="n"/>
      <c r="E353" s="25" t="n"/>
      <c r="F353" s="25" t="n"/>
      <c r="G353" s="29" t="n"/>
      <c r="H353" s="29" t="n"/>
      <c r="I353" s="19">
        <f>IF(COUNT(G353:H353)=0,"",$B$2+SUM(G$6:G353)-SUM(H$6:H353))</f>
        <v/>
      </c>
    </row>
    <row r="354">
      <c r="A354" s="45" t="n"/>
      <c r="B354" s="25" t="n"/>
      <c r="C354" s="17">
        <f>IF(B354="","",IFERROR(INDEX('案件台帳'!$B$6:$B$105,MATCH(B354,'案件台帳'!$A$6:$A$105,0)),""))</f>
        <v/>
      </c>
      <c r="D354" s="25" t="n"/>
      <c r="E354" s="25" t="n"/>
      <c r="F354" s="25" t="n"/>
      <c r="G354" s="29" t="n"/>
      <c r="H354" s="29" t="n"/>
      <c r="I354" s="19">
        <f>IF(COUNT(G354:H354)=0,"",$B$2+SUM(G$6:G354)-SUM(H$6:H354))</f>
        <v/>
      </c>
    </row>
    <row r="355">
      <c r="A355" s="45" t="n"/>
      <c r="B355" s="25" t="n"/>
      <c r="C355" s="17">
        <f>IF(B355="","",IFERROR(INDEX('案件台帳'!$B$6:$B$105,MATCH(B355,'案件台帳'!$A$6:$A$105,0)),""))</f>
        <v/>
      </c>
      <c r="D355" s="25" t="n"/>
      <c r="E355" s="25" t="n"/>
      <c r="F355" s="25" t="n"/>
      <c r="G355" s="29" t="n"/>
      <c r="H355" s="29" t="n"/>
      <c r="I355" s="19">
        <f>IF(COUNT(G355:H355)=0,"",$B$2+SUM(G$6:G355)-SUM(H$6:H355))</f>
        <v/>
      </c>
    </row>
    <row r="356">
      <c r="A356" s="45" t="n"/>
      <c r="B356" s="25" t="n"/>
      <c r="C356" s="17">
        <f>IF(B356="","",IFERROR(INDEX('案件台帳'!$B$6:$B$105,MATCH(B356,'案件台帳'!$A$6:$A$105,0)),""))</f>
        <v/>
      </c>
      <c r="D356" s="25" t="n"/>
      <c r="E356" s="25" t="n"/>
      <c r="F356" s="25" t="n"/>
      <c r="G356" s="29" t="n"/>
      <c r="H356" s="29" t="n"/>
      <c r="I356" s="19">
        <f>IF(COUNT(G356:H356)=0,"",$B$2+SUM(G$6:G356)-SUM(H$6:H356))</f>
        <v/>
      </c>
    </row>
    <row r="357">
      <c r="A357" s="45" t="n"/>
      <c r="B357" s="25" t="n"/>
      <c r="C357" s="17">
        <f>IF(B357="","",IFERROR(INDEX('案件台帳'!$B$6:$B$105,MATCH(B357,'案件台帳'!$A$6:$A$105,0)),""))</f>
        <v/>
      </c>
      <c r="D357" s="25" t="n"/>
      <c r="E357" s="25" t="n"/>
      <c r="F357" s="25" t="n"/>
      <c r="G357" s="29" t="n"/>
      <c r="H357" s="29" t="n"/>
      <c r="I357" s="19">
        <f>IF(COUNT(G357:H357)=0,"",$B$2+SUM(G$6:G357)-SUM(H$6:H357))</f>
        <v/>
      </c>
    </row>
    <row r="358">
      <c r="A358" s="45" t="n"/>
      <c r="B358" s="25" t="n"/>
      <c r="C358" s="17">
        <f>IF(B358="","",IFERROR(INDEX('案件台帳'!$B$6:$B$105,MATCH(B358,'案件台帳'!$A$6:$A$105,0)),""))</f>
        <v/>
      </c>
      <c r="D358" s="25" t="n"/>
      <c r="E358" s="25" t="n"/>
      <c r="F358" s="25" t="n"/>
      <c r="G358" s="29" t="n"/>
      <c r="H358" s="29" t="n"/>
      <c r="I358" s="19">
        <f>IF(COUNT(G358:H358)=0,"",$B$2+SUM(G$6:G358)-SUM(H$6:H358))</f>
        <v/>
      </c>
    </row>
    <row r="359">
      <c r="A359" s="45" t="n"/>
      <c r="B359" s="25" t="n"/>
      <c r="C359" s="17">
        <f>IF(B359="","",IFERROR(INDEX('案件台帳'!$B$6:$B$105,MATCH(B359,'案件台帳'!$A$6:$A$105,0)),""))</f>
        <v/>
      </c>
      <c r="D359" s="25" t="n"/>
      <c r="E359" s="25" t="n"/>
      <c r="F359" s="25" t="n"/>
      <c r="G359" s="29" t="n"/>
      <c r="H359" s="29" t="n"/>
      <c r="I359" s="19">
        <f>IF(COUNT(G359:H359)=0,"",$B$2+SUM(G$6:G359)-SUM(H$6:H359))</f>
        <v/>
      </c>
    </row>
    <row r="360">
      <c r="A360" s="45" t="n"/>
      <c r="B360" s="25" t="n"/>
      <c r="C360" s="17">
        <f>IF(B360="","",IFERROR(INDEX('案件台帳'!$B$6:$B$105,MATCH(B360,'案件台帳'!$A$6:$A$105,0)),""))</f>
        <v/>
      </c>
      <c r="D360" s="25" t="n"/>
      <c r="E360" s="25" t="n"/>
      <c r="F360" s="25" t="n"/>
      <c r="G360" s="29" t="n"/>
      <c r="H360" s="29" t="n"/>
      <c r="I360" s="19">
        <f>IF(COUNT(G360:H360)=0,"",$B$2+SUM(G$6:G360)-SUM(H$6:H360))</f>
        <v/>
      </c>
    </row>
    <row r="361">
      <c r="A361" s="45" t="n"/>
      <c r="B361" s="25" t="n"/>
      <c r="C361" s="17">
        <f>IF(B361="","",IFERROR(INDEX('案件台帳'!$B$6:$B$105,MATCH(B361,'案件台帳'!$A$6:$A$105,0)),""))</f>
        <v/>
      </c>
      <c r="D361" s="25" t="n"/>
      <c r="E361" s="25" t="n"/>
      <c r="F361" s="25" t="n"/>
      <c r="G361" s="29" t="n"/>
      <c r="H361" s="29" t="n"/>
      <c r="I361" s="19">
        <f>IF(COUNT(G361:H361)=0,"",$B$2+SUM(G$6:G361)-SUM(H$6:H361))</f>
        <v/>
      </c>
    </row>
    <row r="362">
      <c r="A362" s="45" t="n"/>
      <c r="B362" s="25" t="n"/>
      <c r="C362" s="17">
        <f>IF(B362="","",IFERROR(INDEX('案件台帳'!$B$6:$B$105,MATCH(B362,'案件台帳'!$A$6:$A$105,0)),""))</f>
        <v/>
      </c>
      <c r="D362" s="25" t="n"/>
      <c r="E362" s="25" t="n"/>
      <c r="F362" s="25" t="n"/>
      <c r="G362" s="29" t="n"/>
      <c r="H362" s="29" t="n"/>
      <c r="I362" s="19">
        <f>IF(COUNT(G362:H362)=0,"",$B$2+SUM(G$6:G362)-SUM(H$6:H362))</f>
        <v/>
      </c>
    </row>
    <row r="363">
      <c r="A363" s="45" t="n"/>
      <c r="B363" s="25" t="n"/>
      <c r="C363" s="17">
        <f>IF(B363="","",IFERROR(INDEX('案件台帳'!$B$6:$B$105,MATCH(B363,'案件台帳'!$A$6:$A$105,0)),""))</f>
        <v/>
      </c>
      <c r="D363" s="25" t="n"/>
      <c r="E363" s="25" t="n"/>
      <c r="F363" s="25" t="n"/>
      <c r="G363" s="29" t="n"/>
      <c r="H363" s="29" t="n"/>
      <c r="I363" s="19">
        <f>IF(COUNT(G363:H363)=0,"",$B$2+SUM(G$6:G363)-SUM(H$6:H363))</f>
        <v/>
      </c>
    </row>
    <row r="364">
      <c r="A364" s="45" t="n"/>
      <c r="B364" s="25" t="n"/>
      <c r="C364" s="17">
        <f>IF(B364="","",IFERROR(INDEX('案件台帳'!$B$6:$B$105,MATCH(B364,'案件台帳'!$A$6:$A$105,0)),""))</f>
        <v/>
      </c>
      <c r="D364" s="25" t="n"/>
      <c r="E364" s="25" t="n"/>
      <c r="F364" s="25" t="n"/>
      <c r="G364" s="29" t="n"/>
      <c r="H364" s="29" t="n"/>
      <c r="I364" s="19">
        <f>IF(COUNT(G364:H364)=0,"",$B$2+SUM(G$6:G364)-SUM(H$6:H364))</f>
        <v/>
      </c>
    </row>
    <row r="365">
      <c r="A365" s="45" t="n"/>
      <c r="B365" s="25" t="n"/>
      <c r="C365" s="17">
        <f>IF(B365="","",IFERROR(INDEX('案件台帳'!$B$6:$B$105,MATCH(B365,'案件台帳'!$A$6:$A$105,0)),""))</f>
        <v/>
      </c>
      <c r="D365" s="25" t="n"/>
      <c r="E365" s="25" t="n"/>
      <c r="F365" s="25" t="n"/>
      <c r="G365" s="29" t="n"/>
      <c r="H365" s="29" t="n"/>
      <c r="I365" s="19">
        <f>IF(COUNT(G365:H365)=0,"",$B$2+SUM(G$6:G365)-SUM(H$6:H365))</f>
        <v/>
      </c>
    </row>
    <row r="366">
      <c r="A366" s="45" t="n"/>
      <c r="B366" s="25" t="n"/>
      <c r="C366" s="17">
        <f>IF(B366="","",IFERROR(INDEX('案件台帳'!$B$6:$B$105,MATCH(B366,'案件台帳'!$A$6:$A$105,0)),""))</f>
        <v/>
      </c>
      <c r="D366" s="25" t="n"/>
      <c r="E366" s="25" t="n"/>
      <c r="F366" s="25" t="n"/>
      <c r="G366" s="29" t="n"/>
      <c r="H366" s="29" t="n"/>
      <c r="I366" s="19">
        <f>IF(COUNT(G366:H366)=0,"",$B$2+SUM(G$6:G366)-SUM(H$6:H366))</f>
        <v/>
      </c>
    </row>
    <row r="367">
      <c r="A367" s="45" t="n"/>
      <c r="B367" s="25" t="n"/>
      <c r="C367" s="17">
        <f>IF(B367="","",IFERROR(INDEX('案件台帳'!$B$6:$B$105,MATCH(B367,'案件台帳'!$A$6:$A$105,0)),""))</f>
        <v/>
      </c>
      <c r="D367" s="25" t="n"/>
      <c r="E367" s="25" t="n"/>
      <c r="F367" s="25" t="n"/>
      <c r="G367" s="29" t="n"/>
      <c r="H367" s="29" t="n"/>
      <c r="I367" s="19">
        <f>IF(COUNT(G367:H367)=0,"",$B$2+SUM(G$6:G367)-SUM(H$6:H367))</f>
        <v/>
      </c>
    </row>
    <row r="368">
      <c r="A368" s="45" t="n"/>
      <c r="B368" s="25" t="n"/>
      <c r="C368" s="17">
        <f>IF(B368="","",IFERROR(INDEX('案件台帳'!$B$6:$B$105,MATCH(B368,'案件台帳'!$A$6:$A$105,0)),""))</f>
        <v/>
      </c>
      <c r="D368" s="25" t="n"/>
      <c r="E368" s="25" t="n"/>
      <c r="F368" s="25" t="n"/>
      <c r="G368" s="29" t="n"/>
      <c r="H368" s="29" t="n"/>
      <c r="I368" s="19">
        <f>IF(COUNT(G368:H368)=0,"",$B$2+SUM(G$6:G368)-SUM(H$6:H368))</f>
        <v/>
      </c>
    </row>
    <row r="369">
      <c r="A369" s="45" t="n"/>
      <c r="B369" s="25" t="n"/>
      <c r="C369" s="17">
        <f>IF(B369="","",IFERROR(INDEX('案件台帳'!$B$6:$B$105,MATCH(B369,'案件台帳'!$A$6:$A$105,0)),""))</f>
        <v/>
      </c>
      <c r="D369" s="25" t="n"/>
      <c r="E369" s="25" t="n"/>
      <c r="F369" s="25" t="n"/>
      <c r="G369" s="29" t="n"/>
      <c r="H369" s="29" t="n"/>
      <c r="I369" s="19">
        <f>IF(COUNT(G369:H369)=0,"",$B$2+SUM(G$6:G369)-SUM(H$6:H369))</f>
        <v/>
      </c>
    </row>
    <row r="370">
      <c r="A370" s="45" t="n"/>
      <c r="B370" s="25" t="n"/>
      <c r="C370" s="17">
        <f>IF(B370="","",IFERROR(INDEX('案件台帳'!$B$6:$B$105,MATCH(B370,'案件台帳'!$A$6:$A$105,0)),""))</f>
        <v/>
      </c>
      <c r="D370" s="25" t="n"/>
      <c r="E370" s="25" t="n"/>
      <c r="F370" s="25" t="n"/>
      <c r="G370" s="29" t="n"/>
      <c r="H370" s="29" t="n"/>
      <c r="I370" s="19">
        <f>IF(COUNT(G370:H370)=0,"",$B$2+SUM(G$6:G370)-SUM(H$6:H370))</f>
        <v/>
      </c>
    </row>
    <row r="371">
      <c r="A371" s="45" t="n"/>
      <c r="B371" s="25" t="n"/>
      <c r="C371" s="17">
        <f>IF(B371="","",IFERROR(INDEX('案件台帳'!$B$6:$B$105,MATCH(B371,'案件台帳'!$A$6:$A$105,0)),""))</f>
        <v/>
      </c>
      <c r="D371" s="25" t="n"/>
      <c r="E371" s="25" t="n"/>
      <c r="F371" s="25" t="n"/>
      <c r="G371" s="29" t="n"/>
      <c r="H371" s="29" t="n"/>
      <c r="I371" s="19">
        <f>IF(COUNT(G371:H371)=0,"",$B$2+SUM(G$6:G371)-SUM(H$6:H371))</f>
        <v/>
      </c>
    </row>
    <row r="372">
      <c r="A372" s="45" t="n"/>
      <c r="B372" s="25" t="n"/>
      <c r="C372" s="17">
        <f>IF(B372="","",IFERROR(INDEX('案件台帳'!$B$6:$B$105,MATCH(B372,'案件台帳'!$A$6:$A$105,0)),""))</f>
        <v/>
      </c>
      <c r="D372" s="25" t="n"/>
      <c r="E372" s="25" t="n"/>
      <c r="F372" s="25" t="n"/>
      <c r="G372" s="29" t="n"/>
      <c r="H372" s="29" t="n"/>
      <c r="I372" s="19">
        <f>IF(COUNT(G372:H372)=0,"",$B$2+SUM(G$6:G372)-SUM(H$6:H372))</f>
        <v/>
      </c>
    </row>
    <row r="373">
      <c r="A373" s="45" t="n"/>
      <c r="B373" s="25" t="n"/>
      <c r="C373" s="17">
        <f>IF(B373="","",IFERROR(INDEX('案件台帳'!$B$6:$B$105,MATCH(B373,'案件台帳'!$A$6:$A$105,0)),""))</f>
        <v/>
      </c>
      <c r="D373" s="25" t="n"/>
      <c r="E373" s="25" t="n"/>
      <c r="F373" s="25" t="n"/>
      <c r="G373" s="29" t="n"/>
      <c r="H373" s="29" t="n"/>
      <c r="I373" s="19">
        <f>IF(COUNT(G373:H373)=0,"",$B$2+SUM(G$6:G373)-SUM(H$6:H373))</f>
        <v/>
      </c>
    </row>
    <row r="374">
      <c r="A374" s="45" t="n"/>
      <c r="B374" s="25" t="n"/>
      <c r="C374" s="17">
        <f>IF(B374="","",IFERROR(INDEX('案件台帳'!$B$6:$B$105,MATCH(B374,'案件台帳'!$A$6:$A$105,0)),""))</f>
        <v/>
      </c>
      <c r="D374" s="25" t="n"/>
      <c r="E374" s="25" t="n"/>
      <c r="F374" s="25" t="n"/>
      <c r="G374" s="29" t="n"/>
      <c r="H374" s="29" t="n"/>
      <c r="I374" s="19">
        <f>IF(COUNT(G374:H374)=0,"",$B$2+SUM(G$6:G374)-SUM(H$6:H374))</f>
        <v/>
      </c>
    </row>
    <row r="375">
      <c r="A375" s="45" t="n"/>
      <c r="B375" s="25" t="n"/>
      <c r="C375" s="17">
        <f>IF(B375="","",IFERROR(INDEX('案件台帳'!$B$6:$B$105,MATCH(B375,'案件台帳'!$A$6:$A$105,0)),""))</f>
        <v/>
      </c>
      <c r="D375" s="25" t="n"/>
      <c r="E375" s="25" t="n"/>
      <c r="F375" s="25" t="n"/>
      <c r="G375" s="29" t="n"/>
      <c r="H375" s="29" t="n"/>
      <c r="I375" s="19">
        <f>IF(COUNT(G375:H375)=0,"",$B$2+SUM(G$6:G375)-SUM(H$6:H375))</f>
        <v/>
      </c>
    </row>
    <row r="376">
      <c r="A376" s="45" t="n"/>
      <c r="B376" s="25" t="n"/>
      <c r="C376" s="17">
        <f>IF(B376="","",IFERROR(INDEX('案件台帳'!$B$6:$B$105,MATCH(B376,'案件台帳'!$A$6:$A$105,0)),""))</f>
        <v/>
      </c>
      <c r="D376" s="25" t="n"/>
      <c r="E376" s="25" t="n"/>
      <c r="F376" s="25" t="n"/>
      <c r="G376" s="29" t="n"/>
      <c r="H376" s="29" t="n"/>
      <c r="I376" s="19">
        <f>IF(COUNT(G376:H376)=0,"",$B$2+SUM(G$6:G376)-SUM(H$6:H376))</f>
        <v/>
      </c>
    </row>
    <row r="377">
      <c r="A377" s="45" t="n"/>
      <c r="B377" s="25" t="n"/>
      <c r="C377" s="17">
        <f>IF(B377="","",IFERROR(INDEX('案件台帳'!$B$6:$B$105,MATCH(B377,'案件台帳'!$A$6:$A$105,0)),""))</f>
        <v/>
      </c>
      <c r="D377" s="25" t="n"/>
      <c r="E377" s="25" t="n"/>
      <c r="F377" s="25" t="n"/>
      <c r="G377" s="29" t="n"/>
      <c r="H377" s="29" t="n"/>
      <c r="I377" s="19">
        <f>IF(COUNT(G377:H377)=0,"",$B$2+SUM(G$6:G377)-SUM(H$6:H377))</f>
        <v/>
      </c>
    </row>
    <row r="378">
      <c r="A378" s="45" t="n"/>
      <c r="B378" s="25" t="n"/>
      <c r="C378" s="17">
        <f>IF(B378="","",IFERROR(INDEX('案件台帳'!$B$6:$B$105,MATCH(B378,'案件台帳'!$A$6:$A$105,0)),""))</f>
        <v/>
      </c>
      <c r="D378" s="25" t="n"/>
      <c r="E378" s="25" t="n"/>
      <c r="F378" s="25" t="n"/>
      <c r="G378" s="29" t="n"/>
      <c r="H378" s="29" t="n"/>
      <c r="I378" s="19">
        <f>IF(COUNT(G378:H378)=0,"",$B$2+SUM(G$6:G378)-SUM(H$6:H378))</f>
        <v/>
      </c>
    </row>
    <row r="379">
      <c r="A379" s="45" t="n"/>
      <c r="B379" s="25" t="n"/>
      <c r="C379" s="17">
        <f>IF(B379="","",IFERROR(INDEX('案件台帳'!$B$6:$B$105,MATCH(B379,'案件台帳'!$A$6:$A$105,0)),""))</f>
        <v/>
      </c>
      <c r="D379" s="25" t="n"/>
      <c r="E379" s="25" t="n"/>
      <c r="F379" s="25" t="n"/>
      <c r="G379" s="29" t="n"/>
      <c r="H379" s="29" t="n"/>
      <c r="I379" s="19">
        <f>IF(COUNT(G379:H379)=0,"",$B$2+SUM(G$6:G379)-SUM(H$6:H379))</f>
        <v/>
      </c>
    </row>
    <row r="380">
      <c r="A380" s="45" t="n"/>
      <c r="B380" s="25" t="n"/>
      <c r="C380" s="17">
        <f>IF(B380="","",IFERROR(INDEX('案件台帳'!$B$6:$B$105,MATCH(B380,'案件台帳'!$A$6:$A$105,0)),""))</f>
        <v/>
      </c>
      <c r="D380" s="25" t="n"/>
      <c r="E380" s="25" t="n"/>
      <c r="F380" s="25" t="n"/>
      <c r="G380" s="29" t="n"/>
      <c r="H380" s="29" t="n"/>
      <c r="I380" s="19">
        <f>IF(COUNT(G380:H380)=0,"",$B$2+SUM(G$6:G380)-SUM(H$6:H380))</f>
        <v/>
      </c>
    </row>
    <row r="381">
      <c r="A381" s="45" t="n"/>
      <c r="B381" s="25" t="n"/>
      <c r="C381" s="17">
        <f>IF(B381="","",IFERROR(INDEX('案件台帳'!$B$6:$B$105,MATCH(B381,'案件台帳'!$A$6:$A$105,0)),""))</f>
        <v/>
      </c>
      <c r="D381" s="25" t="n"/>
      <c r="E381" s="25" t="n"/>
      <c r="F381" s="25" t="n"/>
      <c r="G381" s="29" t="n"/>
      <c r="H381" s="29" t="n"/>
      <c r="I381" s="19">
        <f>IF(COUNT(G381:H381)=0,"",$B$2+SUM(G$6:G381)-SUM(H$6:H381))</f>
        <v/>
      </c>
    </row>
    <row r="382">
      <c r="A382" s="45" t="n"/>
      <c r="B382" s="25" t="n"/>
      <c r="C382" s="17">
        <f>IF(B382="","",IFERROR(INDEX('案件台帳'!$B$6:$B$105,MATCH(B382,'案件台帳'!$A$6:$A$105,0)),""))</f>
        <v/>
      </c>
      <c r="D382" s="25" t="n"/>
      <c r="E382" s="25" t="n"/>
      <c r="F382" s="25" t="n"/>
      <c r="G382" s="29" t="n"/>
      <c r="H382" s="29" t="n"/>
      <c r="I382" s="19">
        <f>IF(COUNT(G382:H382)=0,"",$B$2+SUM(G$6:G382)-SUM(H$6:H382))</f>
        <v/>
      </c>
    </row>
    <row r="383">
      <c r="A383" s="45" t="n"/>
      <c r="B383" s="25" t="n"/>
      <c r="C383" s="17">
        <f>IF(B383="","",IFERROR(INDEX('案件台帳'!$B$6:$B$105,MATCH(B383,'案件台帳'!$A$6:$A$105,0)),""))</f>
        <v/>
      </c>
      <c r="D383" s="25" t="n"/>
      <c r="E383" s="25" t="n"/>
      <c r="F383" s="25" t="n"/>
      <c r="G383" s="29" t="n"/>
      <c r="H383" s="29" t="n"/>
      <c r="I383" s="19">
        <f>IF(COUNT(G383:H383)=0,"",$B$2+SUM(G$6:G383)-SUM(H$6:H383))</f>
        <v/>
      </c>
    </row>
    <row r="384">
      <c r="A384" s="45" t="n"/>
      <c r="B384" s="25" t="n"/>
      <c r="C384" s="17">
        <f>IF(B384="","",IFERROR(INDEX('案件台帳'!$B$6:$B$105,MATCH(B384,'案件台帳'!$A$6:$A$105,0)),""))</f>
        <v/>
      </c>
      <c r="D384" s="25" t="n"/>
      <c r="E384" s="25" t="n"/>
      <c r="F384" s="25" t="n"/>
      <c r="G384" s="29" t="n"/>
      <c r="H384" s="29" t="n"/>
      <c r="I384" s="19">
        <f>IF(COUNT(G384:H384)=0,"",$B$2+SUM(G$6:G384)-SUM(H$6:H384))</f>
        <v/>
      </c>
    </row>
    <row r="385">
      <c r="A385" s="45" t="n"/>
      <c r="B385" s="25" t="n"/>
      <c r="C385" s="17">
        <f>IF(B385="","",IFERROR(INDEX('案件台帳'!$B$6:$B$105,MATCH(B385,'案件台帳'!$A$6:$A$105,0)),""))</f>
        <v/>
      </c>
      <c r="D385" s="25" t="n"/>
      <c r="E385" s="25" t="n"/>
      <c r="F385" s="25" t="n"/>
      <c r="G385" s="29" t="n"/>
      <c r="H385" s="29" t="n"/>
      <c r="I385" s="19">
        <f>IF(COUNT(G385:H385)=0,"",$B$2+SUM(G$6:G385)-SUM(H$6:H385))</f>
        <v/>
      </c>
    </row>
    <row r="386">
      <c r="A386" s="45" t="n"/>
      <c r="B386" s="25" t="n"/>
      <c r="C386" s="17">
        <f>IF(B386="","",IFERROR(INDEX('案件台帳'!$B$6:$B$105,MATCH(B386,'案件台帳'!$A$6:$A$105,0)),""))</f>
        <v/>
      </c>
      <c r="D386" s="25" t="n"/>
      <c r="E386" s="25" t="n"/>
      <c r="F386" s="25" t="n"/>
      <c r="G386" s="29" t="n"/>
      <c r="H386" s="29" t="n"/>
      <c r="I386" s="19">
        <f>IF(COUNT(G386:H386)=0,"",$B$2+SUM(G$6:G386)-SUM(H$6:H386))</f>
        <v/>
      </c>
    </row>
    <row r="387">
      <c r="A387" s="45" t="n"/>
      <c r="B387" s="25" t="n"/>
      <c r="C387" s="17">
        <f>IF(B387="","",IFERROR(INDEX('案件台帳'!$B$6:$B$105,MATCH(B387,'案件台帳'!$A$6:$A$105,0)),""))</f>
        <v/>
      </c>
      <c r="D387" s="25" t="n"/>
      <c r="E387" s="25" t="n"/>
      <c r="F387" s="25" t="n"/>
      <c r="G387" s="29" t="n"/>
      <c r="H387" s="29" t="n"/>
      <c r="I387" s="19">
        <f>IF(COUNT(G387:H387)=0,"",$B$2+SUM(G$6:G387)-SUM(H$6:H387))</f>
        <v/>
      </c>
    </row>
    <row r="388">
      <c r="A388" s="45" t="n"/>
      <c r="B388" s="25" t="n"/>
      <c r="C388" s="17">
        <f>IF(B388="","",IFERROR(INDEX('案件台帳'!$B$6:$B$105,MATCH(B388,'案件台帳'!$A$6:$A$105,0)),""))</f>
        <v/>
      </c>
      <c r="D388" s="25" t="n"/>
      <c r="E388" s="25" t="n"/>
      <c r="F388" s="25" t="n"/>
      <c r="G388" s="29" t="n"/>
      <c r="H388" s="29" t="n"/>
      <c r="I388" s="19">
        <f>IF(COUNT(G388:H388)=0,"",$B$2+SUM(G$6:G388)-SUM(H$6:H388))</f>
        <v/>
      </c>
    </row>
    <row r="389">
      <c r="A389" s="45" t="n"/>
      <c r="B389" s="25" t="n"/>
      <c r="C389" s="17">
        <f>IF(B389="","",IFERROR(INDEX('案件台帳'!$B$6:$B$105,MATCH(B389,'案件台帳'!$A$6:$A$105,0)),""))</f>
        <v/>
      </c>
      <c r="D389" s="25" t="n"/>
      <c r="E389" s="25" t="n"/>
      <c r="F389" s="25" t="n"/>
      <c r="G389" s="29" t="n"/>
      <c r="H389" s="29" t="n"/>
      <c r="I389" s="19">
        <f>IF(COUNT(G389:H389)=0,"",$B$2+SUM(G$6:G389)-SUM(H$6:H389))</f>
        <v/>
      </c>
    </row>
    <row r="390">
      <c r="A390" s="45" t="n"/>
      <c r="B390" s="25" t="n"/>
      <c r="C390" s="17">
        <f>IF(B390="","",IFERROR(INDEX('案件台帳'!$B$6:$B$105,MATCH(B390,'案件台帳'!$A$6:$A$105,0)),""))</f>
        <v/>
      </c>
      <c r="D390" s="25" t="n"/>
      <c r="E390" s="25" t="n"/>
      <c r="F390" s="25" t="n"/>
      <c r="G390" s="29" t="n"/>
      <c r="H390" s="29" t="n"/>
      <c r="I390" s="19">
        <f>IF(COUNT(G390:H390)=0,"",$B$2+SUM(G$6:G390)-SUM(H$6:H390))</f>
        <v/>
      </c>
    </row>
    <row r="391">
      <c r="A391" s="45" t="n"/>
      <c r="B391" s="25" t="n"/>
      <c r="C391" s="17">
        <f>IF(B391="","",IFERROR(INDEX('案件台帳'!$B$6:$B$105,MATCH(B391,'案件台帳'!$A$6:$A$105,0)),""))</f>
        <v/>
      </c>
      <c r="D391" s="25" t="n"/>
      <c r="E391" s="25" t="n"/>
      <c r="F391" s="25" t="n"/>
      <c r="G391" s="29" t="n"/>
      <c r="H391" s="29" t="n"/>
      <c r="I391" s="19">
        <f>IF(COUNT(G391:H391)=0,"",$B$2+SUM(G$6:G391)-SUM(H$6:H391))</f>
        <v/>
      </c>
    </row>
    <row r="392">
      <c r="A392" s="45" t="n"/>
      <c r="B392" s="25" t="n"/>
      <c r="C392" s="17">
        <f>IF(B392="","",IFERROR(INDEX('案件台帳'!$B$6:$B$105,MATCH(B392,'案件台帳'!$A$6:$A$105,0)),""))</f>
        <v/>
      </c>
      <c r="D392" s="25" t="n"/>
      <c r="E392" s="25" t="n"/>
      <c r="F392" s="25" t="n"/>
      <c r="G392" s="29" t="n"/>
      <c r="H392" s="29" t="n"/>
      <c r="I392" s="19">
        <f>IF(COUNT(G392:H392)=0,"",$B$2+SUM(G$6:G392)-SUM(H$6:H392))</f>
        <v/>
      </c>
    </row>
    <row r="393">
      <c r="A393" s="45" t="n"/>
      <c r="B393" s="25" t="n"/>
      <c r="C393" s="17">
        <f>IF(B393="","",IFERROR(INDEX('案件台帳'!$B$6:$B$105,MATCH(B393,'案件台帳'!$A$6:$A$105,0)),""))</f>
        <v/>
      </c>
      <c r="D393" s="25" t="n"/>
      <c r="E393" s="25" t="n"/>
      <c r="F393" s="25" t="n"/>
      <c r="G393" s="29" t="n"/>
      <c r="H393" s="29" t="n"/>
      <c r="I393" s="19">
        <f>IF(COUNT(G393:H393)=0,"",$B$2+SUM(G$6:G393)-SUM(H$6:H393))</f>
        <v/>
      </c>
    </row>
    <row r="394">
      <c r="A394" s="45" t="n"/>
      <c r="B394" s="25" t="n"/>
      <c r="C394" s="17">
        <f>IF(B394="","",IFERROR(INDEX('案件台帳'!$B$6:$B$105,MATCH(B394,'案件台帳'!$A$6:$A$105,0)),""))</f>
        <v/>
      </c>
      <c r="D394" s="25" t="n"/>
      <c r="E394" s="25" t="n"/>
      <c r="F394" s="25" t="n"/>
      <c r="G394" s="29" t="n"/>
      <c r="H394" s="29" t="n"/>
      <c r="I394" s="19">
        <f>IF(COUNT(G394:H394)=0,"",$B$2+SUM(G$6:G394)-SUM(H$6:H394))</f>
        <v/>
      </c>
    </row>
    <row r="395">
      <c r="A395" s="45" t="n"/>
      <c r="B395" s="25" t="n"/>
      <c r="C395" s="17">
        <f>IF(B395="","",IFERROR(INDEX('案件台帳'!$B$6:$B$105,MATCH(B395,'案件台帳'!$A$6:$A$105,0)),""))</f>
        <v/>
      </c>
      <c r="D395" s="25" t="n"/>
      <c r="E395" s="25" t="n"/>
      <c r="F395" s="25" t="n"/>
      <c r="G395" s="29" t="n"/>
      <c r="H395" s="29" t="n"/>
      <c r="I395" s="19">
        <f>IF(COUNT(G395:H395)=0,"",$B$2+SUM(G$6:G395)-SUM(H$6:H395))</f>
        <v/>
      </c>
    </row>
    <row r="396">
      <c r="A396" s="45" t="n"/>
      <c r="B396" s="25" t="n"/>
      <c r="C396" s="17">
        <f>IF(B396="","",IFERROR(INDEX('案件台帳'!$B$6:$B$105,MATCH(B396,'案件台帳'!$A$6:$A$105,0)),""))</f>
        <v/>
      </c>
      <c r="D396" s="25" t="n"/>
      <c r="E396" s="25" t="n"/>
      <c r="F396" s="25" t="n"/>
      <c r="G396" s="29" t="n"/>
      <c r="H396" s="29" t="n"/>
      <c r="I396" s="19">
        <f>IF(COUNT(G396:H396)=0,"",$B$2+SUM(G$6:G396)-SUM(H$6:H396))</f>
        <v/>
      </c>
    </row>
    <row r="397">
      <c r="A397" s="45" t="n"/>
      <c r="B397" s="25" t="n"/>
      <c r="C397" s="17">
        <f>IF(B397="","",IFERROR(INDEX('案件台帳'!$B$6:$B$105,MATCH(B397,'案件台帳'!$A$6:$A$105,0)),""))</f>
        <v/>
      </c>
      <c r="D397" s="25" t="n"/>
      <c r="E397" s="25" t="n"/>
      <c r="F397" s="25" t="n"/>
      <c r="G397" s="29" t="n"/>
      <c r="H397" s="29" t="n"/>
      <c r="I397" s="19">
        <f>IF(COUNT(G397:H397)=0,"",$B$2+SUM(G$6:G397)-SUM(H$6:H397))</f>
        <v/>
      </c>
    </row>
    <row r="398">
      <c r="A398" s="45" t="n"/>
      <c r="B398" s="25" t="n"/>
      <c r="C398" s="17">
        <f>IF(B398="","",IFERROR(INDEX('案件台帳'!$B$6:$B$105,MATCH(B398,'案件台帳'!$A$6:$A$105,0)),""))</f>
        <v/>
      </c>
      <c r="D398" s="25" t="n"/>
      <c r="E398" s="25" t="n"/>
      <c r="F398" s="25" t="n"/>
      <c r="G398" s="29" t="n"/>
      <c r="H398" s="29" t="n"/>
      <c r="I398" s="19">
        <f>IF(COUNT(G398:H398)=0,"",$B$2+SUM(G$6:G398)-SUM(H$6:H398))</f>
        <v/>
      </c>
    </row>
    <row r="399">
      <c r="A399" s="45" t="n"/>
      <c r="B399" s="25" t="n"/>
      <c r="C399" s="17">
        <f>IF(B399="","",IFERROR(INDEX('案件台帳'!$B$6:$B$105,MATCH(B399,'案件台帳'!$A$6:$A$105,0)),""))</f>
        <v/>
      </c>
      <c r="D399" s="25" t="n"/>
      <c r="E399" s="25" t="n"/>
      <c r="F399" s="25" t="n"/>
      <c r="G399" s="29" t="n"/>
      <c r="H399" s="29" t="n"/>
      <c r="I399" s="19">
        <f>IF(COUNT(G399:H399)=0,"",$B$2+SUM(G$6:G399)-SUM(H$6:H399))</f>
        <v/>
      </c>
    </row>
    <row r="400">
      <c r="A400" s="45" t="n"/>
      <c r="B400" s="25" t="n"/>
      <c r="C400" s="17">
        <f>IF(B400="","",IFERROR(INDEX('案件台帳'!$B$6:$B$105,MATCH(B400,'案件台帳'!$A$6:$A$105,0)),""))</f>
        <v/>
      </c>
      <c r="D400" s="25" t="n"/>
      <c r="E400" s="25" t="n"/>
      <c r="F400" s="25" t="n"/>
      <c r="G400" s="29" t="n"/>
      <c r="H400" s="29" t="n"/>
      <c r="I400" s="19">
        <f>IF(COUNT(G400:H400)=0,"",$B$2+SUM(G$6:G400)-SUM(H$6:H400))</f>
        <v/>
      </c>
    </row>
    <row r="401">
      <c r="A401" s="45" t="n"/>
      <c r="B401" s="25" t="n"/>
      <c r="C401" s="17">
        <f>IF(B401="","",IFERROR(INDEX('案件台帳'!$B$6:$B$105,MATCH(B401,'案件台帳'!$A$6:$A$105,0)),""))</f>
        <v/>
      </c>
      <c r="D401" s="25" t="n"/>
      <c r="E401" s="25" t="n"/>
      <c r="F401" s="25" t="n"/>
      <c r="G401" s="29" t="n"/>
      <c r="H401" s="29" t="n"/>
      <c r="I401" s="19">
        <f>IF(COUNT(G401:H401)=0,"",$B$2+SUM(G$6:G401)-SUM(H$6:H401))</f>
        <v/>
      </c>
    </row>
    <row r="402">
      <c r="A402" s="45" t="n"/>
      <c r="B402" s="25" t="n"/>
      <c r="C402" s="17">
        <f>IF(B402="","",IFERROR(INDEX('案件台帳'!$B$6:$B$105,MATCH(B402,'案件台帳'!$A$6:$A$105,0)),""))</f>
        <v/>
      </c>
      <c r="D402" s="25" t="n"/>
      <c r="E402" s="25" t="n"/>
      <c r="F402" s="25" t="n"/>
      <c r="G402" s="29" t="n"/>
      <c r="H402" s="29" t="n"/>
      <c r="I402" s="19">
        <f>IF(COUNT(G402:H402)=0,"",$B$2+SUM(G$6:G402)-SUM(H$6:H402))</f>
        <v/>
      </c>
    </row>
    <row r="403">
      <c r="A403" s="45" t="n"/>
      <c r="B403" s="25" t="n"/>
      <c r="C403" s="17">
        <f>IF(B403="","",IFERROR(INDEX('案件台帳'!$B$6:$B$105,MATCH(B403,'案件台帳'!$A$6:$A$105,0)),""))</f>
        <v/>
      </c>
      <c r="D403" s="25" t="n"/>
      <c r="E403" s="25" t="n"/>
      <c r="F403" s="25" t="n"/>
      <c r="G403" s="29" t="n"/>
      <c r="H403" s="29" t="n"/>
      <c r="I403" s="19">
        <f>IF(COUNT(G403:H403)=0,"",$B$2+SUM(G$6:G403)-SUM(H$6:H403))</f>
        <v/>
      </c>
    </row>
    <row r="404">
      <c r="A404" s="45" t="n"/>
      <c r="B404" s="25" t="n"/>
      <c r="C404" s="17">
        <f>IF(B404="","",IFERROR(INDEX('案件台帳'!$B$6:$B$105,MATCH(B404,'案件台帳'!$A$6:$A$105,0)),""))</f>
        <v/>
      </c>
      <c r="D404" s="25" t="n"/>
      <c r="E404" s="25" t="n"/>
      <c r="F404" s="25" t="n"/>
      <c r="G404" s="29" t="n"/>
      <c r="H404" s="29" t="n"/>
      <c r="I404" s="19">
        <f>IF(COUNT(G404:H404)=0,"",$B$2+SUM(G$6:G404)-SUM(H$6:H404))</f>
        <v/>
      </c>
    </row>
    <row r="405">
      <c r="A405" s="45" t="n"/>
      <c r="B405" s="25" t="n"/>
      <c r="C405" s="17">
        <f>IF(B405="","",IFERROR(INDEX('案件台帳'!$B$6:$B$105,MATCH(B405,'案件台帳'!$A$6:$A$105,0)),""))</f>
        <v/>
      </c>
      <c r="D405" s="25" t="n"/>
      <c r="E405" s="25" t="n"/>
      <c r="F405" s="25" t="n"/>
      <c r="G405" s="29" t="n"/>
      <c r="H405" s="29" t="n"/>
      <c r="I405" s="19">
        <f>IF(COUNT(G405:H405)=0,"",$B$2+SUM(G$6:G405)-SUM(H$6:H405))</f>
        <v/>
      </c>
    </row>
    <row r="406">
      <c r="A406" s="45" t="n"/>
      <c r="B406" s="25" t="n"/>
      <c r="C406" s="17">
        <f>IF(B406="","",IFERROR(INDEX('案件台帳'!$B$6:$B$105,MATCH(B406,'案件台帳'!$A$6:$A$105,0)),""))</f>
        <v/>
      </c>
      <c r="D406" s="25" t="n"/>
      <c r="E406" s="25" t="n"/>
      <c r="F406" s="25" t="n"/>
      <c r="G406" s="29" t="n"/>
      <c r="H406" s="29" t="n"/>
      <c r="I406" s="19">
        <f>IF(COUNT(G406:H406)=0,"",$B$2+SUM(G$6:G406)-SUM(H$6:H406))</f>
        <v/>
      </c>
    </row>
    <row r="407">
      <c r="A407" s="45" t="n"/>
      <c r="B407" s="25" t="n"/>
      <c r="C407" s="17">
        <f>IF(B407="","",IFERROR(INDEX('案件台帳'!$B$6:$B$105,MATCH(B407,'案件台帳'!$A$6:$A$105,0)),""))</f>
        <v/>
      </c>
      <c r="D407" s="25" t="n"/>
      <c r="E407" s="25" t="n"/>
      <c r="F407" s="25" t="n"/>
      <c r="G407" s="29" t="n"/>
      <c r="H407" s="29" t="n"/>
      <c r="I407" s="19">
        <f>IF(COUNT(G407:H407)=0,"",$B$2+SUM(G$6:G407)-SUM(H$6:H407))</f>
        <v/>
      </c>
    </row>
    <row r="408">
      <c r="A408" s="45" t="n"/>
      <c r="B408" s="25" t="n"/>
      <c r="C408" s="17">
        <f>IF(B408="","",IFERROR(INDEX('案件台帳'!$B$6:$B$105,MATCH(B408,'案件台帳'!$A$6:$A$105,0)),""))</f>
        <v/>
      </c>
      <c r="D408" s="25" t="n"/>
      <c r="E408" s="25" t="n"/>
      <c r="F408" s="25" t="n"/>
      <c r="G408" s="29" t="n"/>
      <c r="H408" s="29" t="n"/>
      <c r="I408" s="19">
        <f>IF(COUNT(G408:H408)=0,"",$B$2+SUM(G$6:G408)-SUM(H$6:H408))</f>
        <v/>
      </c>
    </row>
    <row r="409">
      <c r="A409" s="45" t="n"/>
      <c r="B409" s="25" t="n"/>
      <c r="C409" s="17">
        <f>IF(B409="","",IFERROR(INDEX('案件台帳'!$B$6:$B$105,MATCH(B409,'案件台帳'!$A$6:$A$105,0)),""))</f>
        <v/>
      </c>
      <c r="D409" s="25" t="n"/>
      <c r="E409" s="25" t="n"/>
      <c r="F409" s="25" t="n"/>
      <c r="G409" s="29" t="n"/>
      <c r="H409" s="29" t="n"/>
      <c r="I409" s="19">
        <f>IF(COUNT(G409:H409)=0,"",$B$2+SUM(G$6:G409)-SUM(H$6:H409))</f>
        <v/>
      </c>
    </row>
    <row r="410">
      <c r="A410" s="45" t="n"/>
      <c r="B410" s="25" t="n"/>
      <c r="C410" s="17">
        <f>IF(B410="","",IFERROR(INDEX('案件台帳'!$B$6:$B$105,MATCH(B410,'案件台帳'!$A$6:$A$105,0)),""))</f>
        <v/>
      </c>
      <c r="D410" s="25" t="n"/>
      <c r="E410" s="25" t="n"/>
      <c r="F410" s="25" t="n"/>
      <c r="G410" s="29" t="n"/>
      <c r="H410" s="29" t="n"/>
      <c r="I410" s="19">
        <f>IF(COUNT(G410:H410)=0,"",$B$2+SUM(G$6:G410)-SUM(H$6:H410))</f>
        <v/>
      </c>
    </row>
    <row r="411">
      <c r="A411" s="45" t="n"/>
      <c r="B411" s="25" t="n"/>
      <c r="C411" s="17">
        <f>IF(B411="","",IFERROR(INDEX('案件台帳'!$B$6:$B$105,MATCH(B411,'案件台帳'!$A$6:$A$105,0)),""))</f>
        <v/>
      </c>
      <c r="D411" s="25" t="n"/>
      <c r="E411" s="25" t="n"/>
      <c r="F411" s="25" t="n"/>
      <c r="G411" s="29" t="n"/>
      <c r="H411" s="29" t="n"/>
      <c r="I411" s="19">
        <f>IF(COUNT(G411:H411)=0,"",$B$2+SUM(G$6:G411)-SUM(H$6:H411))</f>
        <v/>
      </c>
    </row>
    <row r="412">
      <c r="A412" s="45" t="n"/>
      <c r="B412" s="25" t="n"/>
      <c r="C412" s="17">
        <f>IF(B412="","",IFERROR(INDEX('案件台帳'!$B$6:$B$105,MATCH(B412,'案件台帳'!$A$6:$A$105,0)),""))</f>
        <v/>
      </c>
      <c r="D412" s="25" t="n"/>
      <c r="E412" s="25" t="n"/>
      <c r="F412" s="25" t="n"/>
      <c r="G412" s="29" t="n"/>
      <c r="H412" s="29" t="n"/>
      <c r="I412" s="19">
        <f>IF(COUNT(G412:H412)=0,"",$B$2+SUM(G$6:G412)-SUM(H$6:H412))</f>
        <v/>
      </c>
    </row>
    <row r="413">
      <c r="A413" s="45" t="n"/>
      <c r="B413" s="25" t="n"/>
      <c r="C413" s="17">
        <f>IF(B413="","",IFERROR(INDEX('案件台帳'!$B$6:$B$105,MATCH(B413,'案件台帳'!$A$6:$A$105,0)),""))</f>
        <v/>
      </c>
      <c r="D413" s="25" t="n"/>
      <c r="E413" s="25" t="n"/>
      <c r="F413" s="25" t="n"/>
      <c r="G413" s="29" t="n"/>
      <c r="H413" s="29" t="n"/>
      <c r="I413" s="19">
        <f>IF(COUNT(G413:H413)=0,"",$B$2+SUM(G$6:G413)-SUM(H$6:H413))</f>
        <v/>
      </c>
    </row>
    <row r="414">
      <c r="A414" s="45" t="n"/>
      <c r="B414" s="25" t="n"/>
      <c r="C414" s="17">
        <f>IF(B414="","",IFERROR(INDEX('案件台帳'!$B$6:$B$105,MATCH(B414,'案件台帳'!$A$6:$A$105,0)),""))</f>
        <v/>
      </c>
      <c r="D414" s="25" t="n"/>
      <c r="E414" s="25" t="n"/>
      <c r="F414" s="25" t="n"/>
      <c r="G414" s="29" t="n"/>
      <c r="H414" s="29" t="n"/>
      <c r="I414" s="19">
        <f>IF(COUNT(G414:H414)=0,"",$B$2+SUM(G$6:G414)-SUM(H$6:H414))</f>
        <v/>
      </c>
    </row>
    <row r="415">
      <c r="A415" s="45" t="n"/>
      <c r="B415" s="25" t="n"/>
      <c r="C415" s="17">
        <f>IF(B415="","",IFERROR(INDEX('案件台帳'!$B$6:$B$105,MATCH(B415,'案件台帳'!$A$6:$A$105,0)),""))</f>
        <v/>
      </c>
      <c r="D415" s="25" t="n"/>
      <c r="E415" s="25" t="n"/>
      <c r="F415" s="25" t="n"/>
      <c r="G415" s="29" t="n"/>
      <c r="H415" s="29" t="n"/>
      <c r="I415" s="19">
        <f>IF(COUNT(G415:H415)=0,"",$B$2+SUM(G$6:G415)-SUM(H$6:H415))</f>
        <v/>
      </c>
    </row>
    <row r="416">
      <c r="A416" s="45" t="n"/>
      <c r="B416" s="25" t="n"/>
      <c r="C416" s="17">
        <f>IF(B416="","",IFERROR(INDEX('案件台帳'!$B$6:$B$105,MATCH(B416,'案件台帳'!$A$6:$A$105,0)),""))</f>
        <v/>
      </c>
      <c r="D416" s="25" t="n"/>
      <c r="E416" s="25" t="n"/>
      <c r="F416" s="25" t="n"/>
      <c r="G416" s="29" t="n"/>
      <c r="H416" s="29" t="n"/>
      <c r="I416" s="19">
        <f>IF(COUNT(G416:H416)=0,"",$B$2+SUM(G$6:G416)-SUM(H$6:H416))</f>
        <v/>
      </c>
    </row>
    <row r="417">
      <c r="A417" s="45" t="n"/>
      <c r="B417" s="25" t="n"/>
      <c r="C417" s="17">
        <f>IF(B417="","",IFERROR(INDEX('案件台帳'!$B$6:$B$105,MATCH(B417,'案件台帳'!$A$6:$A$105,0)),""))</f>
        <v/>
      </c>
      <c r="D417" s="25" t="n"/>
      <c r="E417" s="25" t="n"/>
      <c r="F417" s="25" t="n"/>
      <c r="G417" s="29" t="n"/>
      <c r="H417" s="29" t="n"/>
      <c r="I417" s="19">
        <f>IF(COUNT(G417:H417)=0,"",$B$2+SUM(G$6:G417)-SUM(H$6:H417))</f>
        <v/>
      </c>
    </row>
    <row r="418">
      <c r="A418" s="45" t="n"/>
      <c r="B418" s="25" t="n"/>
      <c r="C418" s="17">
        <f>IF(B418="","",IFERROR(INDEX('案件台帳'!$B$6:$B$105,MATCH(B418,'案件台帳'!$A$6:$A$105,0)),""))</f>
        <v/>
      </c>
      <c r="D418" s="25" t="n"/>
      <c r="E418" s="25" t="n"/>
      <c r="F418" s="25" t="n"/>
      <c r="G418" s="29" t="n"/>
      <c r="H418" s="29" t="n"/>
      <c r="I418" s="19">
        <f>IF(COUNT(G418:H418)=0,"",$B$2+SUM(G$6:G418)-SUM(H$6:H418))</f>
        <v/>
      </c>
    </row>
    <row r="419">
      <c r="A419" s="45" t="n"/>
      <c r="B419" s="25" t="n"/>
      <c r="C419" s="17">
        <f>IF(B419="","",IFERROR(INDEX('案件台帳'!$B$6:$B$105,MATCH(B419,'案件台帳'!$A$6:$A$105,0)),""))</f>
        <v/>
      </c>
      <c r="D419" s="25" t="n"/>
      <c r="E419" s="25" t="n"/>
      <c r="F419" s="25" t="n"/>
      <c r="G419" s="29" t="n"/>
      <c r="H419" s="29" t="n"/>
      <c r="I419" s="19">
        <f>IF(COUNT(G419:H419)=0,"",$B$2+SUM(G$6:G419)-SUM(H$6:H419))</f>
        <v/>
      </c>
    </row>
    <row r="420">
      <c r="A420" s="45" t="n"/>
      <c r="B420" s="25" t="n"/>
      <c r="C420" s="17">
        <f>IF(B420="","",IFERROR(INDEX('案件台帳'!$B$6:$B$105,MATCH(B420,'案件台帳'!$A$6:$A$105,0)),""))</f>
        <v/>
      </c>
      <c r="D420" s="25" t="n"/>
      <c r="E420" s="25" t="n"/>
      <c r="F420" s="25" t="n"/>
      <c r="G420" s="29" t="n"/>
      <c r="H420" s="29" t="n"/>
      <c r="I420" s="19">
        <f>IF(COUNT(G420:H420)=0,"",$B$2+SUM(G$6:G420)-SUM(H$6:H420))</f>
        <v/>
      </c>
    </row>
    <row r="421">
      <c r="A421" s="45" t="n"/>
      <c r="B421" s="25" t="n"/>
      <c r="C421" s="17">
        <f>IF(B421="","",IFERROR(INDEX('案件台帳'!$B$6:$B$105,MATCH(B421,'案件台帳'!$A$6:$A$105,0)),""))</f>
        <v/>
      </c>
      <c r="D421" s="25" t="n"/>
      <c r="E421" s="25" t="n"/>
      <c r="F421" s="25" t="n"/>
      <c r="G421" s="29" t="n"/>
      <c r="H421" s="29" t="n"/>
      <c r="I421" s="19">
        <f>IF(COUNT(G421:H421)=0,"",$B$2+SUM(G$6:G421)-SUM(H$6:H421))</f>
        <v/>
      </c>
    </row>
    <row r="422">
      <c r="A422" s="45" t="n"/>
      <c r="B422" s="25" t="n"/>
      <c r="C422" s="17">
        <f>IF(B422="","",IFERROR(INDEX('案件台帳'!$B$6:$B$105,MATCH(B422,'案件台帳'!$A$6:$A$105,0)),""))</f>
        <v/>
      </c>
      <c r="D422" s="25" t="n"/>
      <c r="E422" s="25" t="n"/>
      <c r="F422" s="25" t="n"/>
      <c r="G422" s="29" t="n"/>
      <c r="H422" s="29" t="n"/>
      <c r="I422" s="19">
        <f>IF(COUNT(G422:H422)=0,"",$B$2+SUM(G$6:G422)-SUM(H$6:H422))</f>
        <v/>
      </c>
    </row>
    <row r="423">
      <c r="A423" s="45" t="n"/>
      <c r="B423" s="25" t="n"/>
      <c r="C423" s="17">
        <f>IF(B423="","",IFERROR(INDEX('案件台帳'!$B$6:$B$105,MATCH(B423,'案件台帳'!$A$6:$A$105,0)),""))</f>
        <v/>
      </c>
      <c r="D423" s="25" t="n"/>
      <c r="E423" s="25" t="n"/>
      <c r="F423" s="25" t="n"/>
      <c r="G423" s="29" t="n"/>
      <c r="H423" s="29" t="n"/>
      <c r="I423" s="19">
        <f>IF(COUNT(G423:H423)=0,"",$B$2+SUM(G$6:G423)-SUM(H$6:H423))</f>
        <v/>
      </c>
    </row>
    <row r="424">
      <c r="A424" s="45" t="n"/>
      <c r="B424" s="25" t="n"/>
      <c r="C424" s="17">
        <f>IF(B424="","",IFERROR(INDEX('案件台帳'!$B$6:$B$105,MATCH(B424,'案件台帳'!$A$6:$A$105,0)),""))</f>
        <v/>
      </c>
      <c r="D424" s="25" t="n"/>
      <c r="E424" s="25" t="n"/>
      <c r="F424" s="25" t="n"/>
      <c r="G424" s="29" t="n"/>
      <c r="H424" s="29" t="n"/>
      <c r="I424" s="19">
        <f>IF(COUNT(G424:H424)=0,"",$B$2+SUM(G$6:G424)-SUM(H$6:H424))</f>
        <v/>
      </c>
    </row>
    <row r="425">
      <c r="A425" s="45" t="n"/>
      <c r="B425" s="25" t="n"/>
      <c r="C425" s="17">
        <f>IF(B425="","",IFERROR(INDEX('案件台帳'!$B$6:$B$105,MATCH(B425,'案件台帳'!$A$6:$A$105,0)),""))</f>
        <v/>
      </c>
      <c r="D425" s="25" t="n"/>
      <c r="E425" s="25" t="n"/>
      <c r="F425" s="25" t="n"/>
      <c r="G425" s="29" t="n"/>
      <c r="H425" s="29" t="n"/>
      <c r="I425" s="19">
        <f>IF(COUNT(G425:H425)=0,"",$B$2+SUM(G$6:G425)-SUM(H$6:H425))</f>
        <v/>
      </c>
    </row>
    <row r="426">
      <c r="A426" s="45" t="n"/>
      <c r="B426" s="25" t="n"/>
      <c r="C426" s="17">
        <f>IF(B426="","",IFERROR(INDEX('案件台帳'!$B$6:$B$105,MATCH(B426,'案件台帳'!$A$6:$A$105,0)),""))</f>
        <v/>
      </c>
      <c r="D426" s="25" t="n"/>
      <c r="E426" s="25" t="n"/>
      <c r="F426" s="25" t="n"/>
      <c r="G426" s="29" t="n"/>
      <c r="H426" s="29" t="n"/>
      <c r="I426" s="19">
        <f>IF(COUNT(G426:H426)=0,"",$B$2+SUM(G$6:G426)-SUM(H$6:H426))</f>
        <v/>
      </c>
    </row>
    <row r="427">
      <c r="A427" s="45" t="n"/>
      <c r="B427" s="25" t="n"/>
      <c r="C427" s="17">
        <f>IF(B427="","",IFERROR(INDEX('案件台帳'!$B$6:$B$105,MATCH(B427,'案件台帳'!$A$6:$A$105,0)),""))</f>
        <v/>
      </c>
      <c r="D427" s="25" t="n"/>
      <c r="E427" s="25" t="n"/>
      <c r="F427" s="25" t="n"/>
      <c r="G427" s="29" t="n"/>
      <c r="H427" s="29" t="n"/>
      <c r="I427" s="19">
        <f>IF(COUNT(G427:H427)=0,"",$B$2+SUM(G$6:G427)-SUM(H$6:H427))</f>
        <v/>
      </c>
    </row>
    <row r="428">
      <c r="A428" s="45" t="n"/>
      <c r="B428" s="25" t="n"/>
      <c r="C428" s="17">
        <f>IF(B428="","",IFERROR(INDEX('案件台帳'!$B$6:$B$105,MATCH(B428,'案件台帳'!$A$6:$A$105,0)),""))</f>
        <v/>
      </c>
      <c r="D428" s="25" t="n"/>
      <c r="E428" s="25" t="n"/>
      <c r="F428" s="25" t="n"/>
      <c r="G428" s="29" t="n"/>
      <c r="H428" s="29" t="n"/>
      <c r="I428" s="19">
        <f>IF(COUNT(G428:H428)=0,"",$B$2+SUM(G$6:G428)-SUM(H$6:H428))</f>
        <v/>
      </c>
    </row>
    <row r="429">
      <c r="A429" s="45" t="n"/>
      <c r="B429" s="25" t="n"/>
      <c r="C429" s="17">
        <f>IF(B429="","",IFERROR(INDEX('案件台帳'!$B$6:$B$105,MATCH(B429,'案件台帳'!$A$6:$A$105,0)),""))</f>
        <v/>
      </c>
      <c r="D429" s="25" t="n"/>
      <c r="E429" s="25" t="n"/>
      <c r="F429" s="25" t="n"/>
      <c r="G429" s="29" t="n"/>
      <c r="H429" s="29" t="n"/>
      <c r="I429" s="19">
        <f>IF(COUNT(G429:H429)=0,"",$B$2+SUM(G$6:G429)-SUM(H$6:H429))</f>
        <v/>
      </c>
    </row>
    <row r="430">
      <c r="A430" s="45" t="n"/>
      <c r="B430" s="25" t="n"/>
      <c r="C430" s="17">
        <f>IF(B430="","",IFERROR(INDEX('案件台帳'!$B$6:$B$105,MATCH(B430,'案件台帳'!$A$6:$A$105,0)),""))</f>
        <v/>
      </c>
      <c r="D430" s="25" t="n"/>
      <c r="E430" s="25" t="n"/>
      <c r="F430" s="25" t="n"/>
      <c r="G430" s="29" t="n"/>
      <c r="H430" s="29" t="n"/>
      <c r="I430" s="19">
        <f>IF(COUNT(G430:H430)=0,"",$B$2+SUM(G$6:G430)-SUM(H$6:H430))</f>
        <v/>
      </c>
    </row>
    <row r="431">
      <c r="A431" s="45" t="n"/>
      <c r="B431" s="25" t="n"/>
      <c r="C431" s="17">
        <f>IF(B431="","",IFERROR(INDEX('案件台帳'!$B$6:$B$105,MATCH(B431,'案件台帳'!$A$6:$A$105,0)),""))</f>
        <v/>
      </c>
      <c r="D431" s="25" t="n"/>
      <c r="E431" s="25" t="n"/>
      <c r="F431" s="25" t="n"/>
      <c r="G431" s="29" t="n"/>
      <c r="H431" s="29" t="n"/>
      <c r="I431" s="19">
        <f>IF(COUNT(G431:H431)=0,"",$B$2+SUM(G$6:G431)-SUM(H$6:H431))</f>
        <v/>
      </c>
    </row>
    <row r="432">
      <c r="A432" s="45" t="n"/>
      <c r="B432" s="25" t="n"/>
      <c r="C432" s="17">
        <f>IF(B432="","",IFERROR(INDEX('案件台帳'!$B$6:$B$105,MATCH(B432,'案件台帳'!$A$6:$A$105,0)),""))</f>
        <v/>
      </c>
      <c r="D432" s="25" t="n"/>
      <c r="E432" s="25" t="n"/>
      <c r="F432" s="25" t="n"/>
      <c r="G432" s="29" t="n"/>
      <c r="H432" s="29" t="n"/>
      <c r="I432" s="19">
        <f>IF(COUNT(G432:H432)=0,"",$B$2+SUM(G$6:G432)-SUM(H$6:H432))</f>
        <v/>
      </c>
    </row>
    <row r="433">
      <c r="A433" s="45" t="n"/>
      <c r="B433" s="25" t="n"/>
      <c r="C433" s="17">
        <f>IF(B433="","",IFERROR(INDEX('案件台帳'!$B$6:$B$105,MATCH(B433,'案件台帳'!$A$6:$A$105,0)),""))</f>
        <v/>
      </c>
      <c r="D433" s="25" t="n"/>
      <c r="E433" s="25" t="n"/>
      <c r="F433" s="25" t="n"/>
      <c r="G433" s="29" t="n"/>
      <c r="H433" s="29" t="n"/>
      <c r="I433" s="19">
        <f>IF(COUNT(G433:H433)=0,"",$B$2+SUM(G$6:G433)-SUM(H$6:H433))</f>
        <v/>
      </c>
    </row>
    <row r="434">
      <c r="A434" s="45" t="n"/>
      <c r="B434" s="25" t="n"/>
      <c r="C434" s="17">
        <f>IF(B434="","",IFERROR(INDEX('案件台帳'!$B$6:$B$105,MATCH(B434,'案件台帳'!$A$6:$A$105,0)),""))</f>
        <v/>
      </c>
      <c r="D434" s="25" t="n"/>
      <c r="E434" s="25" t="n"/>
      <c r="F434" s="25" t="n"/>
      <c r="G434" s="29" t="n"/>
      <c r="H434" s="29" t="n"/>
      <c r="I434" s="19">
        <f>IF(COUNT(G434:H434)=0,"",$B$2+SUM(G$6:G434)-SUM(H$6:H434))</f>
        <v/>
      </c>
    </row>
    <row r="435">
      <c r="A435" s="45" t="n"/>
      <c r="B435" s="25" t="n"/>
      <c r="C435" s="17">
        <f>IF(B435="","",IFERROR(INDEX('案件台帳'!$B$6:$B$105,MATCH(B435,'案件台帳'!$A$6:$A$105,0)),""))</f>
        <v/>
      </c>
      <c r="D435" s="25" t="n"/>
      <c r="E435" s="25" t="n"/>
      <c r="F435" s="25" t="n"/>
      <c r="G435" s="29" t="n"/>
      <c r="H435" s="29" t="n"/>
      <c r="I435" s="19">
        <f>IF(COUNT(G435:H435)=0,"",$B$2+SUM(G$6:G435)-SUM(H$6:H435))</f>
        <v/>
      </c>
    </row>
    <row r="436">
      <c r="A436" s="45" t="n"/>
      <c r="B436" s="25" t="n"/>
      <c r="C436" s="17">
        <f>IF(B436="","",IFERROR(INDEX('案件台帳'!$B$6:$B$105,MATCH(B436,'案件台帳'!$A$6:$A$105,0)),""))</f>
        <v/>
      </c>
      <c r="D436" s="25" t="n"/>
      <c r="E436" s="25" t="n"/>
      <c r="F436" s="25" t="n"/>
      <c r="G436" s="29" t="n"/>
      <c r="H436" s="29" t="n"/>
      <c r="I436" s="19">
        <f>IF(COUNT(G436:H436)=0,"",$B$2+SUM(G$6:G436)-SUM(H$6:H436))</f>
        <v/>
      </c>
    </row>
    <row r="437">
      <c r="A437" s="45" t="n"/>
      <c r="B437" s="25" t="n"/>
      <c r="C437" s="17">
        <f>IF(B437="","",IFERROR(INDEX('案件台帳'!$B$6:$B$105,MATCH(B437,'案件台帳'!$A$6:$A$105,0)),""))</f>
        <v/>
      </c>
      <c r="D437" s="25" t="n"/>
      <c r="E437" s="25" t="n"/>
      <c r="F437" s="25" t="n"/>
      <c r="G437" s="29" t="n"/>
      <c r="H437" s="29" t="n"/>
      <c r="I437" s="19">
        <f>IF(COUNT(G437:H437)=0,"",$B$2+SUM(G$6:G437)-SUM(H$6:H437))</f>
        <v/>
      </c>
    </row>
    <row r="438">
      <c r="A438" s="45" t="n"/>
      <c r="B438" s="25" t="n"/>
      <c r="C438" s="17">
        <f>IF(B438="","",IFERROR(INDEX('案件台帳'!$B$6:$B$105,MATCH(B438,'案件台帳'!$A$6:$A$105,0)),""))</f>
        <v/>
      </c>
      <c r="D438" s="25" t="n"/>
      <c r="E438" s="25" t="n"/>
      <c r="F438" s="25" t="n"/>
      <c r="G438" s="29" t="n"/>
      <c r="H438" s="29" t="n"/>
      <c r="I438" s="19">
        <f>IF(COUNT(G438:H438)=0,"",$B$2+SUM(G$6:G438)-SUM(H$6:H438))</f>
        <v/>
      </c>
    </row>
    <row r="439">
      <c r="A439" s="45" t="n"/>
      <c r="B439" s="25" t="n"/>
      <c r="C439" s="17">
        <f>IF(B439="","",IFERROR(INDEX('案件台帳'!$B$6:$B$105,MATCH(B439,'案件台帳'!$A$6:$A$105,0)),""))</f>
        <v/>
      </c>
      <c r="D439" s="25" t="n"/>
      <c r="E439" s="25" t="n"/>
      <c r="F439" s="25" t="n"/>
      <c r="G439" s="29" t="n"/>
      <c r="H439" s="29" t="n"/>
      <c r="I439" s="19">
        <f>IF(COUNT(G439:H439)=0,"",$B$2+SUM(G$6:G439)-SUM(H$6:H439))</f>
        <v/>
      </c>
    </row>
    <row r="440">
      <c r="A440" s="45" t="n"/>
      <c r="B440" s="25" t="n"/>
      <c r="C440" s="17">
        <f>IF(B440="","",IFERROR(INDEX('案件台帳'!$B$6:$B$105,MATCH(B440,'案件台帳'!$A$6:$A$105,0)),""))</f>
        <v/>
      </c>
      <c r="D440" s="25" t="n"/>
      <c r="E440" s="25" t="n"/>
      <c r="F440" s="25" t="n"/>
      <c r="G440" s="29" t="n"/>
      <c r="H440" s="29" t="n"/>
      <c r="I440" s="19">
        <f>IF(COUNT(G440:H440)=0,"",$B$2+SUM(G$6:G440)-SUM(H$6:H440))</f>
        <v/>
      </c>
    </row>
    <row r="441">
      <c r="A441" s="45" t="n"/>
      <c r="B441" s="25" t="n"/>
      <c r="C441" s="17">
        <f>IF(B441="","",IFERROR(INDEX('案件台帳'!$B$6:$B$105,MATCH(B441,'案件台帳'!$A$6:$A$105,0)),""))</f>
        <v/>
      </c>
      <c r="D441" s="25" t="n"/>
      <c r="E441" s="25" t="n"/>
      <c r="F441" s="25" t="n"/>
      <c r="G441" s="29" t="n"/>
      <c r="H441" s="29" t="n"/>
      <c r="I441" s="19">
        <f>IF(COUNT(G441:H441)=0,"",$B$2+SUM(G$6:G441)-SUM(H$6:H441))</f>
        <v/>
      </c>
    </row>
    <row r="442">
      <c r="A442" s="45" t="n"/>
      <c r="B442" s="25" t="n"/>
      <c r="C442" s="17">
        <f>IF(B442="","",IFERROR(INDEX('案件台帳'!$B$6:$B$105,MATCH(B442,'案件台帳'!$A$6:$A$105,0)),""))</f>
        <v/>
      </c>
      <c r="D442" s="25" t="n"/>
      <c r="E442" s="25" t="n"/>
      <c r="F442" s="25" t="n"/>
      <c r="G442" s="29" t="n"/>
      <c r="H442" s="29" t="n"/>
      <c r="I442" s="19">
        <f>IF(COUNT(G442:H442)=0,"",$B$2+SUM(G$6:G442)-SUM(H$6:H442))</f>
        <v/>
      </c>
    </row>
    <row r="443">
      <c r="A443" s="45" t="n"/>
      <c r="B443" s="25" t="n"/>
      <c r="C443" s="17">
        <f>IF(B443="","",IFERROR(INDEX('案件台帳'!$B$6:$B$105,MATCH(B443,'案件台帳'!$A$6:$A$105,0)),""))</f>
        <v/>
      </c>
      <c r="D443" s="25" t="n"/>
      <c r="E443" s="25" t="n"/>
      <c r="F443" s="25" t="n"/>
      <c r="G443" s="29" t="n"/>
      <c r="H443" s="29" t="n"/>
      <c r="I443" s="19">
        <f>IF(COUNT(G443:H443)=0,"",$B$2+SUM(G$6:G443)-SUM(H$6:H443))</f>
        <v/>
      </c>
    </row>
    <row r="444">
      <c r="A444" s="45" t="n"/>
      <c r="B444" s="25" t="n"/>
      <c r="C444" s="17">
        <f>IF(B444="","",IFERROR(INDEX('案件台帳'!$B$6:$B$105,MATCH(B444,'案件台帳'!$A$6:$A$105,0)),""))</f>
        <v/>
      </c>
      <c r="D444" s="25" t="n"/>
      <c r="E444" s="25" t="n"/>
      <c r="F444" s="25" t="n"/>
      <c r="G444" s="29" t="n"/>
      <c r="H444" s="29" t="n"/>
      <c r="I444" s="19">
        <f>IF(COUNT(G444:H444)=0,"",$B$2+SUM(G$6:G444)-SUM(H$6:H444))</f>
        <v/>
      </c>
    </row>
    <row r="445">
      <c r="A445" s="45" t="n"/>
      <c r="B445" s="25" t="n"/>
      <c r="C445" s="17">
        <f>IF(B445="","",IFERROR(INDEX('案件台帳'!$B$6:$B$105,MATCH(B445,'案件台帳'!$A$6:$A$105,0)),""))</f>
        <v/>
      </c>
      <c r="D445" s="25" t="n"/>
      <c r="E445" s="25" t="n"/>
      <c r="F445" s="25" t="n"/>
      <c r="G445" s="29" t="n"/>
      <c r="H445" s="29" t="n"/>
      <c r="I445" s="19">
        <f>IF(COUNT(G445:H445)=0,"",$B$2+SUM(G$6:G445)-SUM(H$6:H445))</f>
        <v/>
      </c>
    </row>
    <row r="446">
      <c r="A446" s="45" t="n"/>
      <c r="B446" s="25" t="n"/>
      <c r="C446" s="17">
        <f>IF(B446="","",IFERROR(INDEX('案件台帳'!$B$6:$B$105,MATCH(B446,'案件台帳'!$A$6:$A$105,0)),""))</f>
        <v/>
      </c>
      <c r="D446" s="25" t="n"/>
      <c r="E446" s="25" t="n"/>
      <c r="F446" s="25" t="n"/>
      <c r="G446" s="29" t="n"/>
      <c r="H446" s="29" t="n"/>
      <c r="I446" s="19">
        <f>IF(COUNT(G446:H446)=0,"",$B$2+SUM(G$6:G446)-SUM(H$6:H446))</f>
        <v/>
      </c>
    </row>
    <row r="447">
      <c r="A447" s="45" t="n"/>
      <c r="B447" s="25" t="n"/>
      <c r="C447" s="17">
        <f>IF(B447="","",IFERROR(INDEX('案件台帳'!$B$6:$B$105,MATCH(B447,'案件台帳'!$A$6:$A$105,0)),""))</f>
        <v/>
      </c>
      <c r="D447" s="25" t="n"/>
      <c r="E447" s="25" t="n"/>
      <c r="F447" s="25" t="n"/>
      <c r="G447" s="29" t="n"/>
      <c r="H447" s="29" t="n"/>
      <c r="I447" s="19">
        <f>IF(COUNT(G447:H447)=0,"",$B$2+SUM(G$6:G447)-SUM(H$6:H447))</f>
        <v/>
      </c>
    </row>
    <row r="448">
      <c r="A448" s="45" t="n"/>
      <c r="B448" s="25" t="n"/>
      <c r="C448" s="17">
        <f>IF(B448="","",IFERROR(INDEX('案件台帳'!$B$6:$B$105,MATCH(B448,'案件台帳'!$A$6:$A$105,0)),""))</f>
        <v/>
      </c>
      <c r="D448" s="25" t="n"/>
      <c r="E448" s="25" t="n"/>
      <c r="F448" s="25" t="n"/>
      <c r="G448" s="29" t="n"/>
      <c r="H448" s="29" t="n"/>
      <c r="I448" s="19">
        <f>IF(COUNT(G448:H448)=0,"",$B$2+SUM(G$6:G448)-SUM(H$6:H448))</f>
        <v/>
      </c>
    </row>
    <row r="449">
      <c r="A449" s="45" t="n"/>
      <c r="B449" s="25" t="n"/>
      <c r="C449" s="17">
        <f>IF(B449="","",IFERROR(INDEX('案件台帳'!$B$6:$B$105,MATCH(B449,'案件台帳'!$A$6:$A$105,0)),""))</f>
        <v/>
      </c>
      <c r="D449" s="25" t="n"/>
      <c r="E449" s="25" t="n"/>
      <c r="F449" s="25" t="n"/>
      <c r="G449" s="29" t="n"/>
      <c r="H449" s="29" t="n"/>
      <c r="I449" s="19">
        <f>IF(COUNT(G449:H449)=0,"",$B$2+SUM(G$6:G449)-SUM(H$6:H449))</f>
        <v/>
      </c>
    </row>
    <row r="450">
      <c r="A450" s="45" t="n"/>
      <c r="B450" s="25" t="n"/>
      <c r="C450" s="17">
        <f>IF(B450="","",IFERROR(INDEX('案件台帳'!$B$6:$B$105,MATCH(B450,'案件台帳'!$A$6:$A$105,0)),""))</f>
        <v/>
      </c>
      <c r="D450" s="25" t="n"/>
      <c r="E450" s="25" t="n"/>
      <c r="F450" s="25" t="n"/>
      <c r="G450" s="29" t="n"/>
      <c r="H450" s="29" t="n"/>
      <c r="I450" s="19">
        <f>IF(COUNT(G450:H450)=0,"",$B$2+SUM(G$6:G450)-SUM(H$6:H450))</f>
        <v/>
      </c>
    </row>
    <row r="451">
      <c r="A451" s="45" t="n"/>
      <c r="B451" s="25" t="n"/>
      <c r="C451" s="17">
        <f>IF(B451="","",IFERROR(INDEX('案件台帳'!$B$6:$B$105,MATCH(B451,'案件台帳'!$A$6:$A$105,0)),""))</f>
        <v/>
      </c>
      <c r="D451" s="25" t="n"/>
      <c r="E451" s="25" t="n"/>
      <c r="F451" s="25" t="n"/>
      <c r="G451" s="29" t="n"/>
      <c r="H451" s="29" t="n"/>
      <c r="I451" s="19">
        <f>IF(COUNT(G451:H451)=0,"",$B$2+SUM(G$6:G451)-SUM(H$6:H451))</f>
        <v/>
      </c>
    </row>
    <row r="452">
      <c r="A452" s="45" t="n"/>
      <c r="B452" s="25" t="n"/>
      <c r="C452" s="17">
        <f>IF(B452="","",IFERROR(INDEX('案件台帳'!$B$6:$B$105,MATCH(B452,'案件台帳'!$A$6:$A$105,0)),""))</f>
        <v/>
      </c>
      <c r="D452" s="25" t="n"/>
      <c r="E452" s="25" t="n"/>
      <c r="F452" s="25" t="n"/>
      <c r="G452" s="29" t="n"/>
      <c r="H452" s="29" t="n"/>
      <c r="I452" s="19">
        <f>IF(COUNT(G452:H452)=0,"",$B$2+SUM(G$6:G452)-SUM(H$6:H452))</f>
        <v/>
      </c>
    </row>
    <row r="453">
      <c r="A453" s="45" t="n"/>
      <c r="B453" s="25" t="n"/>
      <c r="C453" s="17">
        <f>IF(B453="","",IFERROR(INDEX('案件台帳'!$B$6:$B$105,MATCH(B453,'案件台帳'!$A$6:$A$105,0)),""))</f>
        <v/>
      </c>
      <c r="D453" s="25" t="n"/>
      <c r="E453" s="25" t="n"/>
      <c r="F453" s="25" t="n"/>
      <c r="G453" s="29" t="n"/>
      <c r="H453" s="29" t="n"/>
      <c r="I453" s="19">
        <f>IF(COUNT(G453:H453)=0,"",$B$2+SUM(G$6:G453)-SUM(H$6:H453))</f>
        <v/>
      </c>
    </row>
    <row r="454">
      <c r="A454" s="45" t="n"/>
      <c r="B454" s="25" t="n"/>
      <c r="C454" s="17">
        <f>IF(B454="","",IFERROR(INDEX('案件台帳'!$B$6:$B$105,MATCH(B454,'案件台帳'!$A$6:$A$105,0)),""))</f>
        <v/>
      </c>
      <c r="D454" s="25" t="n"/>
      <c r="E454" s="25" t="n"/>
      <c r="F454" s="25" t="n"/>
      <c r="G454" s="29" t="n"/>
      <c r="H454" s="29" t="n"/>
      <c r="I454" s="19">
        <f>IF(COUNT(G454:H454)=0,"",$B$2+SUM(G$6:G454)-SUM(H$6:H454))</f>
        <v/>
      </c>
    </row>
    <row r="455">
      <c r="A455" s="45" t="n"/>
      <c r="B455" s="25" t="n"/>
      <c r="C455" s="17">
        <f>IF(B455="","",IFERROR(INDEX('案件台帳'!$B$6:$B$105,MATCH(B455,'案件台帳'!$A$6:$A$105,0)),""))</f>
        <v/>
      </c>
      <c r="D455" s="25" t="n"/>
      <c r="E455" s="25" t="n"/>
      <c r="F455" s="25" t="n"/>
      <c r="G455" s="29" t="n"/>
      <c r="H455" s="29" t="n"/>
      <c r="I455" s="19">
        <f>IF(COUNT(G455:H455)=0,"",$B$2+SUM(G$6:G455)-SUM(H$6:H455))</f>
        <v/>
      </c>
    </row>
    <row r="456">
      <c r="A456" s="45" t="n"/>
      <c r="B456" s="25" t="n"/>
      <c r="C456" s="17">
        <f>IF(B456="","",IFERROR(INDEX('案件台帳'!$B$6:$B$105,MATCH(B456,'案件台帳'!$A$6:$A$105,0)),""))</f>
        <v/>
      </c>
      <c r="D456" s="25" t="n"/>
      <c r="E456" s="25" t="n"/>
      <c r="F456" s="25" t="n"/>
      <c r="G456" s="29" t="n"/>
      <c r="H456" s="29" t="n"/>
      <c r="I456" s="19">
        <f>IF(COUNT(G456:H456)=0,"",$B$2+SUM(G$6:G456)-SUM(H$6:H456))</f>
        <v/>
      </c>
    </row>
    <row r="457">
      <c r="A457" s="45" t="n"/>
      <c r="B457" s="25" t="n"/>
      <c r="C457" s="17">
        <f>IF(B457="","",IFERROR(INDEX('案件台帳'!$B$6:$B$105,MATCH(B457,'案件台帳'!$A$6:$A$105,0)),""))</f>
        <v/>
      </c>
      <c r="D457" s="25" t="n"/>
      <c r="E457" s="25" t="n"/>
      <c r="F457" s="25" t="n"/>
      <c r="G457" s="29" t="n"/>
      <c r="H457" s="29" t="n"/>
      <c r="I457" s="19">
        <f>IF(COUNT(G457:H457)=0,"",$B$2+SUM(G$6:G457)-SUM(H$6:H457))</f>
        <v/>
      </c>
    </row>
    <row r="458">
      <c r="A458" s="45" t="n"/>
      <c r="B458" s="25" t="n"/>
      <c r="C458" s="17">
        <f>IF(B458="","",IFERROR(INDEX('案件台帳'!$B$6:$B$105,MATCH(B458,'案件台帳'!$A$6:$A$105,0)),""))</f>
        <v/>
      </c>
      <c r="D458" s="25" t="n"/>
      <c r="E458" s="25" t="n"/>
      <c r="F458" s="25" t="n"/>
      <c r="G458" s="29" t="n"/>
      <c r="H458" s="29" t="n"/>
      <c r="I458" s="19">
        <f>IF(COUNT(G458:H458)=0,"",$B$2+SUM(G$6:G458)-SUM(H$6:H458))</f>
        <v/>
      </c>
    </row>
    <row r="459">
      <c r="A459" s="45" t="n"/>
      <c r="B459" s="25" t="n"/>
      <c r="C459" s="17">
        <f>IF(B459="","",IFERROR(INDEX('案件台帳'!$B$6:$B$105,MATCH(B459,'案件台帳'!$A$6:$A$105,0)),""))</f>
        <v/>
      </c>
      <c r="D459" s="25" t="n"/>
      <c r="E459" s="25" t="n"/>
      <c r="F459" s="25" t="n"/>
      <c r="G459" s="29" t="n"/>
      <c r="H459" s="29" t="n"/>
      <c r="I459" s="19">
        <f>IF(COUNT(G459:H459)=0,"",$B$2+SUM(G$6:G459)-SUM(H$6:H459))</f>
        <v/>
      </c>
    </row>
    <row r="460">
      <c r="A460" s="45" t="n"/>
      <c r="B460" s="25" t="n"/>
      <c r="C460" s="17">
        <f>IF(B460="","",IFERROR(INDEX('案件台帳'!$B$6:$B$105,MATCH(B460,'案件台帳'!$A$6:$A$105,0)),""))</f>
        <v/>
      </c>
      <c r="D460" s="25" t="n"/>
      <c r="E460" s="25" t="n"/>
      <c r="F460" s="25" t="n"/>
      <c r="G460" s="29" t="n"/>
      <c r="H460" s="29" t="n"/>
      <c r="I460" s="19">
        <f>IF(COUNT(G460:H460)=0,"",$B$2+SUM(G$6:G460)-SUM(H$6:H460))</f>
        <v/>
      </c>
    </row>
    <row r="461">
      <c r="A461" s="45" t="n"/>
      <c r="B461" s="25" t="n"/>
      <c r="C461" s="17">
        <f>IF(B461="","",IFERROR(INDEX('案件台帳'!$B$6:$B$105,MATCH(B461,'案件台帳'!$A$6:$A$105,0)),""))</f>
        <v/>
      </c>
      <c r="D461" s="25" t="n"/>
      <c r="E461" s="25" t="n"/>
      <c r="F461" s="25" t="n"/>
      <c r="G461" s="29" t="n"/>
      <c r="H461" s="29" t="n"/>
      <c r="I461" s="19">
        <f>IF(COUNT(G461:H461)=0,"",$B$2+SUM(G$6:G461)-SUM(H$6:H461))</f>
        <v/>
      </c>
    </row>
    <row r="462">
      <c r="A462" s="45" t="n"/>
      <c r="B462" s="25" t="n"/>
      <c r="C462" s="17">
        <f>IF(B462="","",IFERROR(INDEX('案件台帳'!$B$6:$B$105,MATCH(B462,'案件台帳'!$A$6:$A$105,0)),""))</f>
        <v/>
      </c>
      <c r="D462" s="25" t="n"/>
      <c r="E462" s="25" t="n"/>
      <c r="F462" s="25" t="n"/>
      <c r="G462" s="29" t="n"/>
      <c r="H462" s="29" t="n"/>
      <c r="I462" s="19">
        <f>IF(COUNT(G462:H462)=0,"",$B$2+SUM(G$6:G462)-SUM(H$6:H462))</f>
        <v/>
      </c>
    </row>
    <row r="463">
      <c r="A463" s="45" t="n"/>
      <c r="B463" s="25" t="n"/>
      <c r="C463" s="17">
        <f>IF(B463="","",IFERROR(INDEX('案件台帳'!$B$6:$B$105,MATCH(B463,'案件台帳'!$A$6:$A$105,0)),""))</f>
        <v/>
      </c>
      <c r="D463" s="25" t="n"/>
      <c r="E463" s="25" t="n"/>
      <c r="F463" s="25" t="n"/>
      <c r="G463" s="29" t="n"/>
      <c r="H463" s="29" t="n"/>
      <c r="I463" s="19">
        <f>IF(COUNT(G463:H463)=0,"",$B$2+SUM(G$6:G463)-SUM(H$6:H463))</f>
        <v/>
      </c>
    </row>
    <row r="464">
      <c r="A464" s="45" t="n"/>
      <c r="B464" s="25" t="n"/>
      <c r="C464" s="17">
        <f>IF(B464="","",IFERROR(INDEX('案件台帳'!$B$6:$B$105,MATCH(B464,'案件台帳'!$A$6:$A$105,0)),""))</f>
        <v/>
      </c>
      <c r="D464" s="25" t="n"/>
      <c r="E464" s="25" t="n"/>
      <c r="F464" s="25" t="n"/>
      <c r="G464" s="29" t="n"/>
      <c r="H464" s="29" t="n"/>
      <c r="I464" s="19">
        <f>IF(COUNT(G464:H464)=0,"",$B$2+SUM(G$6:G464)-SUM(H$6:H464))</f>
        <v/>
      </c>
    </row>
    <row r="465">
      <c r="A465" s="45" t="n"/>
      <c r="B465" s="25" t="n"/>
      <c r="C465" s="17">
        <f>IF(B465="","",IFERROR(INDEX('案件台帳'!$B$6:$B$105,MATCH(B465,'案件台帳'!$A$6:$A$105,0)),""))</f>
        <v/>
      </c>
      <c r="D465" s="25" t="n"/>
      <c r="E465" s="25" t="n"/>
      <c r="F465" s="25" t="n"/>
      <c r="G465" s="29" t="n"/>
      <c r="H465" s="29" t="n"/>
      <c r="I465" s="19">
        <f>IF(COUNT(G465:H465)=0,"",$B$2+SUM(G$6:G465)-SUM(H$6:H465))</f>
        <v/>
      </c>
    </row>
    <row r="466">
      <c r="A466" s="45" t="n"/>
      <c r="B466" s="25" t="n"/>
      <c r="C466" s="17">
        <f>IF(B466="","",IFERROR(INDEX('案件台帳'!$B$6:$B$105,MATCH(B466,'案件台帳'!$A$6:$A$105,0)),""))</f>
        <v/>
      </c>
      <c r="D466" s="25" t="n"/>
      <c r="E466" s="25" t="n"/>
      <c r="F466" s="25" t="n"/>
      <c r="G466" s="29" t="n"/>
      <c r="H466" s="29" t="n"/>
      <c r="I466" s="19">
        <f>IF(COUNT(G466:H466)=0,"",$B$2+SUM(G$6:G466)-SUM(H$6:H466))</f>
        <v/>
      </c>
    </row>
    <row r="467">
      <c r="A467" s="45" t="n"/>
      <c r="B467" s="25" t="n"/>
      <c r="C467" s="17">
        <f>IF(B467="","",IFERROR(INDEX('案件台帳'!$B$6:$B$105,MATCH(B467,'案件台帳'!$A$6:$A$105,0)),""))</f>
        <v/>
      </c>
      <c r="D467" s="25" t="n"/>
      <c r="E467" s="25" t="n"/>
      <c r="F467" s="25" t="n"/>
      <c r="G467" s="29" t="n"/>
      <c r="H467" s="29" t="n"/>
      <c r="I467" s="19">
        <f>IF(COUNT(G467:H467)=0,"",$B$2+SUM(G$6:G467)-SUM(H$6:H467))</f>
        <v/>
      </c>
    </row>
    <row r="468">
      <c r="A468" s="45" t="n"/>
      <c r="B468" s="25" t="n"/>
      <c r="C468" s="17">
        <f>IF(B468="","",IFERROR(INDEX('案件台帳'!$B$6:$B$105,MATCH(B468,'案件台帳'!$A$6:$A$105,0)),""))</f>
        <v/>
      </c>
      <c r="D468" s="25" t="n"/>
      <c r="E468" s="25" t="n"/>
      <c r="F468" s="25" t="n"/>
      <c r="G468" s="29" t="n"/>
      <c r="H468" s="29" t="n"/>
      <c r="I468" s="19">
        <f>IF(COUNT(G468:H468)=0,"",$B$2+SUM(G$6:G468)-SUM(H$6:H468))</f>
        <v/>
      </c>
    </row>
    <row r="469">
      <c r="A469" s="45" t="n"/>
      <c r="B469" s="25" t="n"/>
      <c r="C469" s="17">
        <f>IF(B469="","",IFERROR(INDEX('案件台帳'!$B$6:$B$105,MATCH(B469,'案件台帳'!$A$6:$A$105,0)),""))</f>
        <v/>
      </c>
      <c r="D469" s="25" t="n"/>
      <c r="E469" s="25" t="n"/>
      <c r="F469" s="25" t="n"/>
      <c r="G469" s="29" t="n"/>
      <c r="H469" s="29" t="n"/>
      <c r="I469" s="19">
        <f>IF(COUNT(G469:H469)=0,"",$B$2+SUM(G$6:G469)-SUM(H$6:H469))</f>
        <v/>
      </c>
    </row>
    <row r="470">
      <c r="A470" s="45" t="n"/>
      <c r="B470" s="25" t="n"/>
      <c r="C470" s="17">
        <f>IF(B470="","",IFERROR(INDEX('案件台帳'!$B$6:$B$105,MATCH(B470,'案件台帳'!$A$6:$A$105,0)),""))</f>
        <v/>
      </c>
      <c r="D470" s="25" t="n"/>
      <c r="E470" s="25" t="n"/>
      <c r="F470" s="25" t="n"/>
      <c r="G470" s="29" t="n"/>
      <c r="H470" s="29" t="n"/>
      <c r="I470" s="19">
        <f>IF(COUNT(G470:H470)=0,"",$B$2+SUM(G$6:G470)-SUM(H$6:H470))</f>
        <v/>
      </c>
    </row>
    <row r="471">
      <c r="A471" s="45" t="n"/>
      <c r="B471" s="25" t="n"/>
      <c r="C471" s="17">
        <f>IF(B471="","",IFERROR(INDEX('案件台帳'!$B$6:$B$105,MATCH(B471,'案件台帳'!$A$6:$A$105,0)),""))</f>
        <v/>
      </c>
      <c r="D471" s="25" t="n"/>
      <c r="E471" s="25" t="n"/>
      <c r="F471" s="25" t="n"/>
      <c r="G471" s="29" t="n"/>
      <c r="H471" s="29" t="n"/>
      <c r="I471" s="19">
        <f>IF(COUNT(G471:H471)=0,"",$B$2+SUM(G$6:G471)-SUM(H$6:H471))</f>
        <v/>
      </c>
    </row>
    <row r="472">
      <c r="A472" s="45" t="n"/>
      <c r="B472" s="25" t="n"/>
      <c r="C472" s="17">
        <f>IF(B472="","",IFERROR(INDEX('案件台帳'!$B$6:$B$105,MATCH(B472,'案件台帳'!$A$6:$A$105,0)),""))</f>
        <v/>
      </c>
      <c r="D472" s="25" t="n"/>
      <c r="E472" s="25" t="n"/>
      <c r="F472" s="25" t="n"/>
      <c r="G472" s="29" t="n"/>
      <c r="H472" s="29" t="n"/>
      <c r="I472" s="19">
        <f>IF(COUNT(G472:H472)=0,"",$B$2+SUM(G$6:G472)-SUM(H$6:H472))</f>
        <v/>
      </c>
    </row>
    <row r="473">
      <c r="A473" s="45" t="n"/>
      <c r="B473" s="25" t="n"/>
      <c r="C473" s="17">
        <f>IF(B473="","",IFERROR(INDEX('案件台帳'!$B$6:$B$105,MATCH(B473,'案件台帳'!$A$6:$A$105,0)),""))</f>
        <v/>
      </c>
      <c r="D473" s="25" t="n"/>
      <c r="E473" s="25" t="n"/>
      <c r="F473" s="25" t="n"/>
      <c r="G473" s="29" t="n"/>
      <c r="H473" s="29" t="n"/>
      <c r="I473" s="19">
        <f>IF(COUNT(G473:H473)=0,"",$B$2+SUM(G$6:G473)-SUM(H$6:H473))</f>
        <v/>
      </c>
    </row>
    <row r="474">
      <c r="A474" s="45" t="n"/>
      <c r="B474" s="25" t="n"/>
      <c r="C474" s="17">
        <f>IF(B474="","",IFERROR(INDEX('案件台帳'!$B$6:$B$105,MATCH(B474,'案件台帳'!$A$6:$A$105,0)),""))</f>
        <v/>
      </c>
      <c r="D474" s="25" t="n"/>
      <c r="E474" s="25" t="n"/>
      <c r="F474" s="25" t="n"/>
      <c r="G474" s="29" t="n"/>
      <c r="H474" s="29" t="n"/>
      <c r="I474" s="19">
        <f>IF(COUNT(G474:H474)=0,"",$B$2+SUM(G$6:G474)-SUM(H$6:H474))</f>
        <v/>
      </c>
    </row>
    <row r="475">
      <c r="A475" s="45" t="n"/>
      <c r="B475" s="25" t="n"/>
      <c r="C475" s="17">
        <f>IF(B475="","",IFERROR(INDEX('案件台帳'!$B$6:$B$105,MATCH(B475,'案件台帳'!$A$6:$A$105,0)),""))</f>
        <v/>
      </c>
      <c r="D475" s="25" t="n"/>
      <c r="E475" s="25" t="n"/>
      <c r="F475" s="25" t="n"/>
      <c r="G475" s="29" t="n"/>
      <c r="H475" s="29" t="n"/>
      <c r="I475" s="19">
        <f>IF(COUNT(G475:H475)=0,"",$B$2+SUM(G$6:G475)-SUM(H$6:H475))</f>
        <v/>
      </c>
    </row>
    <row r="476">
      <c r="A476" s="45" t="n"/>
      <c r="B476" s="25" t="n"/>
      <c r="C476" s="17">
        <f>IF(B476="","",IFERROR(INDEX('案件台帳'!$B$6:$B$105,MATCH(B476,'案件台帳'!$A$6:$A$105,0)),""))</f>
        <v/>
      </c>
      <c r="D476" s="25" t="n"/>
      <c r="E476" s="25" t="n"/>
      <c r="F476" s="25" t="n"/>
      <c r="G476" s="29" t="n"/>
      <c r="H476" s="29" t="n"/>
      <c r="I476" s="19">
        <f>IF(COUNT(G476:H476)=0,"",$B$2+SUM(G$6:G476)-SUM(H$6:H476))</f>
        <v/>
      </c>
    </row>
    <row r="477">
      <c r="A477" s="45" t="n"/>
      <c r="B477" s="25" t="n"/>
      <c r="C477" s="17">
        <f>IF(B477="","",IFERROR(INDEX('案件台帳'!$B$6:$B$105,MATCH(B477,'案件台帳'!$A$6:$A$105,0)),""))</f>
        <v/>
      </c>
      <c r="D477" s="25" t="n"/>
      <c r="E477" s="25" t="n"/>
      <c r="F477" s="25" t="n"/>
      <c r="G477" s="29" t="n"/>
      <c r="H477" s="29" t="n"/>
      <c r="I477" s="19">
        <f>IF(COUNT(G477:H477)=0,"",$B$2+SUM(G$6:G477)-SUM(H$6:H477))</f>
        <v/>
      </c>
    </row>
    <row r="478">
      <c r="A478" s="45" t="n"/>
      <c r="B478" s="25" t="n"/>
      <c r="C478" s="17">
        <f>IF(B478="","",IFERROR(INDEX('案件台帳'!$B$6:$B$105,MATCH(B478,'案件台帳'!$A$6:$A$105,0)),""))</f>
        <v/>
      </c>
      <c r="D478" s="25" t="n"/>
      <c r="E478" s="25" t="n"/>
      <c r="F478" s="25" t="n"/>
      <c r="G478" s="29" t="n"/>
      <c r="H478" s="29" t="n"/>
      <c r="I478" s="19">
        <f>IF(COUNT(G478:H478)=0,"",$B$2+SUM(G$6:G478)-SUM(H$6:H478))</f>
        <v/>
      </c>
    </row>
    <row r="479">
      <c r="A479" s="45" t="n"/>
      <c r="B479" s="25" t="n"/>
      <c r="C479" s="17">
        <f>IF(B479="","",IFERROR(INDEX('案件台帳'!$B$6:$B$105,MATCH(B479,'案件台帳'!$A$6:$A$105,0)),""))</f>
        <v/>
      </c>
      <c r="D479" s="25" t="n"/>
      <c r="E479" s="25" t="n"/>
      <c r="F479" s="25" t="n"/>
      <c r="G479" s="29" t="n"/>
      <c r="H479" s="29" t="n"/>
      <c r="I479" s="19">
        <f>IF(COUNT(G479:H479)=0,"",$B$2+SUM(G$6:G479)-SUM(H$6:H479))</f>
        <v/>
      </c>
    </row>
    <row r="480">
      <c r="A480" s="45" t="n"/>
      <c r="B480" s="25" t="n"/>
      <c r="C480" s="17">
        <f>IF(B480="","",IFERROR(INDEX('案件台帳'!$B$6:$B$105,MATCH(B480,'案件台帳'!$A$6:$A$105,0)),""))</f>
        <v/>
      </c>
      <c r="D480" s="25" t="n"/>
      <c r="E480" s="25" t="n"/>
      <c r="F480" s="25" t="n"/>
      <c r="G480" s="29" t="n"/>
      <c r="H480" s="29" t="n"/>
      <c r="I480" s="19">
        <f>IF(COUNT(G480:H480)=0,"",$B$2+SUM(G$6:G480)-SUM(H$6:H480))</f>
        <v/>
      </c>
    </row>
    <row r="481">
      <c r="A481" s="45" t="n"/>
      <c r="B481" s="25" t="n"/>
      <c r="C481" s="17">
        <f>IF(B481="","",IFERROR(INDEX('案件台帳'!$B$6:$B$105,MATCH(B481,'案件台帳'!$A$6:$A$105,0)),""))</f>
        <v/>
      </c>
      <c r="D481" s="25" t="n"/>
      <c r="E481" s="25" t="n"/>
      <c r="F481" s="25" t="n"/>
      <c r="G481" s="29" t="n"/>
      <c r="H481" s="29" t="n"/>
      <c r="I481" s="19">
        <f>IF(COUNT(G481:H481)=0,"",$B$2+SUM(G$6:G481)-SUM(H$6:H481))</f>
        <v/>
      </c>
    </row>
    <row r="482">
      <c r="A482" s="45" t="n"/>
      <c r="B482" s="25" t="n"/>
      <c r="C482" s="17">
        <f>IF(B482="","",IFERROR(INDEX('案件台帳'!$B$6:$B$105,MATCH(B482,'案件台帳'!$A$6:$A$105,0)),""))</f>
        <v/>
      </c>
      <c r="D482" s="25" t="n"/>
      <c r="E482" s="25" t="n"/>
      <c r="F482" s="25" t="n"/>
      <c r="G482" s="29" t="n"/>
      <c r="H482" s="29" t="n"/>
      <c r="I482" s="19">
        <f>IF(COUNT(G482:H482)=0,"",$B$2+SUM(G$6:G482)-SUM(H$6:H482))</f>
        <v/>
      </c>
    </row>
    <row r="483">
      <c r="A483" s="45" t="n"/>
      <c r="B483" s="25" t="n"/>
      <c r="C483" s="17">
        <f>IF(B483="","",IFERROR(INDEX('案件台帳'!$B$6:$B$105,MATCH(B483,'案件台帳'!$A$6:$A$105,0)),""))</f>
        <v/>
      </c>
      <c r="D483" s="25" t="n"/>
      <c r="E483" s="25" t="n"/>
      <c r="F483" s="25" t="n"/>
      <c r="G483" s="29" t="n"/>
      <c r="H483" s="29" t="n"/>
      <c r="I483" s="19">
        <f>IF(COUNT(G483:H483)=0,"",$B$2+SUM(G$6:G483)-SUM(H$6:H483))</f>
        <v/>
      </c>
    </row>
    <row r="484">
      <c r="A484" s="45" t="n"/>
      <c r="B484" s="25" t="n"/>
      <c r="C484" s="17">
        <f>IF(B484="","",IFERROR(INDEX('案件台帳'!$B$6:$B$105,MATCH(B484,'案件台帳'!$A$6:$A$105,0)),""))</f>
        <v/>
      </c>
      <c r="D484" s="25" t="n"/>
      <c r="E484" s="25" t="n"/>
      <c r="F484" s="25" t="n"/>
      <c r="G484" s="29" t="n"/>
      <c r="H484" s="29" t="n"/>
      <c r="I484" s="19">
        <f>IF(COUNT(G484:H484)=0,"",$B$2+SUM(G$6:G484)-SUM(H$6:H484))</f>
        <v/>
      </c>
    </row>
    <row r="485">
      <c r="A485" s="45" t="n"/>
      <c r="B485" s="25" t="n"/>
      <c r="C485" s="17">
        <f>IF(B485="","",IFERROR(INDEX('案件台帳'!$B$6:$B$105,MATCH(B485,'案件台帳'!$A$6:$A$105,0)),""))</f>
        <v/>
      </c>
      <c r="D485" s="25" t="n"/>
      <c r="E485" s="25" t="n"/>
      <c r="F485" s="25" t="n"/>
      <c r="G485" s="29" t="n"/>
      <c r="H485" s="29" t="n"/>
      <c r="I485" s="19">
        <f>IF(COUNT(G485:H485)=0,"",$B$2+SUM(G$6:G485)-SUM(H$6:H485))</f>
        <v/>
      </c>
    </row>
    <row r="486">
      <c r="A486" s="45" t="n"/>
      <c r="B486" s="25" t="n"/>
      <c r="C486" s="17">
        <f>IF(B486="","",IFERROR(INDEX('案件台帳'!$B$6:$B$105,MATCH(B486,'案件台帳'!$A$6:$A$105,0)),""))</f>
        <v/>
      </c>
      <c r="D486" s="25" t="n"/>
      <c r="E486" s="25" t="n"/>
      <c r="F486" s="25" t="n"/>
      <c r="G486" s="29" t="n"/>
      <c r="H486" s="29" t="n"/>
      <c r="I486" s="19">
        <f>IF(COUNT(G486:H486)=0,"",$B$2+SUM(G$6:G486)-SUM(H$6:H486))</f>
        <v/>
      </c>
    </row>
    <row r="487">
      <c r="A487" s="45" t="n"/>
      <c r="B487" s="25" t="n"/>
      <c r="C487" s="17">
        <f>IF(B487="","",IFERROR(INDEX('案件台帳'!$B$6:$B$105,MATCH(B487,'案件台帳'!$A$6:$A$105,0)),""))</f>
        <v/>
      </c>
      <c r="D487" s="25" t="n"/>
      <c r="E487" s="25" t="n"/>
      <c r="F487" s="25" t="n"/>
      <c r="G487" s="29" t="n"/>
      <c r="H487" s="29" t="n"/>
      <c r="I487" s="19">
        <f>IF(COUNT(G487:H487)=0,"",$B$2+SUM(G$6:G487)-SUM(H$6:H487))</f>
        <v/>
      </c>
    </row>
    <row r="488">
      <c r="A488" s="45" t="n"/>
      <c r="B488" s="25" t="n"/>
      <c r="C488" s="17">
        <f>IF(B488="","",IFERROR(INDEX('案件台帳'!$B$6:$B$105,MATCH(B488,'案件台帳'!$A$6:$A$105,0)),""))</f>
        <v/>
      </c>
      <c r="D488" s="25" t="n"/>
      <c r="E488" s="25" t="n"/>
      <c r="F488" s="25" t="n"/>
      <c r="G488" s="29" t="n"/>
      <c r="H488" s="29" t="n"/>
      <c r="I488" s="19">
        <f>IF(COUNT(G488:H488)=0,"",$B$2+SUM(G$6:G488)-SUM(H$6:H488))</f>
        <v/>
      </c>
    </row>
    <row r="489">
      <c r="A489" s="45" t="n"/>
      <c r="B489" s="25" t="n"/>
      <c r="C489" s="17">
        <f>IF(B489="","",IFERROR(INDEX('案件台帳'!$B$6:$B$105,MATCH(B489,'案件台帳'!$A$6:$A$105,0)),""))</f>
        <v/>
      </c>
      <c r="D489" s="25" t="n"/>
      <c r="E489" s="25" t="n"/>
      <c r="F489" s="25" t="n"/>
      <c r="G489" s="29" t="n"/>
      <c r="H489" s="29" t="n"/>
      <c r="I489" s="19">
        <f>IF(COUNT(G489:H489)=0,"",$B$2+SUM(G$6:G489)-SUM(H$6:H489))</f>
        <v/>
      </c>
    </row>
    <row r="490">
      <c r="A490" s="45" t="n"/>
      <c r="B490" s="25" t="n"/>
      <c r="C490" s="17">
        <f>IF(B490="","",IFERROR(INDEX('案件台帳'!$B$6:$B$105,MATCH(B490,'案件台帳'!$A$6:$A$105,0)),""))</f>
        <v/>
      </c>
      <c r="D490" s="25" t="n"/>
      <c r="E490" s="25" t="n"/>
      <c r="F490" s="25" t="n"/>
      <c r="G490" s="29" t="n"/>
      <c r="H490" s="29" t="n"/>
      <c r="I490" s="19">
        <f>IF(COUNT(G490:H490)=0,"",$B$2+SUM(G$6:G490)-SUM(H$6:H490))</f>
        <v/>
      </c>
    </row>
    <row r="491">
      <c r="A491" s="45" t="n"/>
      <c r="B491" s="25" t="n"/>
      <c r="C491" s="17">
        <f>IF(B491="","",IFERROR(INDEX('案件台帳'!$B$6:$B$105,MATCH(B491,'案件台帳'!$A$6:$A$105,0)),""))</f>
        <v/>
      </c>
      <c r="D491" s="25" t="n"/>
      <c r="E491" s="25" t="n"/>
      <c r="F491" s="25" t="n"/>
      <c r="G491" s="29" t="n"/>
      <c r="H491" s="29" t="n"/>
      <c r="I491" s="19">
        <f>IF(COUNT(G491:H491)=0,"",$B$2+SUM(G$6:G491)-SUM(H$6:H491))</f>
        <v/>
      </c>
    </row>
    <row r="492">
      <c r="A492" s="45" t="n"/>
      <c r="B492" s="25" t="n"/>
      <c r="C492" s="17">
        <f>IF(B492="","",IFERROR(INDEX('案件台帳'!$B$6:$B$105,MATCH(B492,'案件台帳'!$A$6:$A$105,0)),""))</f>
        <v/>
      </c>
      <c r="D492" s="25" t="n"/>
      <c r="E492" s="25" t="n"/>
      <c r="F492" s="25" t="n"/>
      <c r="G492" s="29" t="n"/>
      <c r="H492" s="29" t="n"/>
      <c r="I492" s="19">
        <f>IF(COUNT(G492:H492)=0,"",$B$2+SUM(G$6:G492)-SUM(H$6:H492))</f>
        <v/>
      </c>
    </row>
    <row r="493">
      <c r="A493" s="45" t="n"/>
      <c r="B493" s="25" t="n"/>
      <c r="C493" s="17">
        <f>IF(B493="","",IFERROR(INDEX('案件台帳'!$B$6:$B$105,MATCH(B493,'案件台帳'!$A$6:$A$105,0)),""))</f>
        <v/>
      </c>
      <c r="D493" s="25" t="n"/>
      <c r="E493" s="25" t="n"/>
      <c r="F493" s="25" t="n"/>
      <c r="G493" s="29" t="n"/>
      <c r="H493" s="29" t="n"/>
      <c r="I493" s="19">
        <f>IF(COUNT(G493:H493)=0,"",$B$2+SUM(G$6:G493)-SUM(H$6:H493))</f>
        <v/>
      </c>
    </row>
    <row r="494">
      <c r="A494" s="45" t="n"/>
      <c r="B494" s="25" t="n"/>
      <c r="C494" s="17">
        <f>IF(B494="","",IFERROR(INDEX('案件台帳'!$B$6:$B$105,MATCH(B494,'案件台帳'!$A$6:$A$105,0)),""))</f>
        <v/>
      </c>
      <c r="D494" s="25" t="n"/>
      <c r="E494" s="25" t="n"/>
      <c r="F494" s="25" t="n"/>
      <c r="G494" s="29" t="n"/>
      <c r="H494" s="29" t="n"/>
      <c r="I494" s="19">
        <f>IF(COUNT(G494:H494)=0,"",$B$2+SUM(G$6:G494)-SUM(H$6:H494))</f>
        <v/>
      </c>
    </row>
    <row r="495">
      <c r="A495" s="45" t="n"/>
      <c r="B495" s="25" t="n"/>
      <c r="C495" s="17">
        <f>IF(B495="","",IFERROR(INDEX('案件台帳'!$B$6:$B$105,MATCH(B495,'案件台帳'!$A$6:$A$105,0)),""))</f>
        <v/>
      </c>
      <c r="D495" s="25" t="n"/>
      <c r="E495" s="25" t="n"/>
      <c r="F495" s="25" t="n"/>
      <c r="G495" s="29" t="n"/>
      <c r="H495" s="29" t="n"/>
      <c r="I495" s="19">
        <f>IF(COUNT(G495:H495)=0,"",$B$2+SUM(G$6:G495)-SUM(H$6:H495))</f>
        <v/>
      </c>
    </row>
    <row r="496">
      <c r="A496" s="45" t="n"/>
      <c r="B496" s="25" t="n"/>
      <c r="C496" s="17">
        <f>IF(B496="","",IFERROR(INDEX('案件台帳'!$B$6:$B$105,MATCH(B496,'案件台帳'!$A$6:$A$105,0)),""))</f>
        <v/>
      </c>
      <c r="D496" s="25" t="n"/>
      <c r="E496" s="25" t="n"/>
      <c r="F496" s="25" t="n"/>
      <c r="G496" s="29" t="n"/>
      <c r="H496" s="29" t="n"/>
      <c r="I496" s="19">
        <f>IF(COUNT(G496:H496)=0,"",$B$2+SUM(G$6:G496)-SUM(H$6:H496))</f>
        <v/>
      </c>
    </row>
    <row r="497">
      <c r="A497" s="45" t="n"/>
      <c r="B497" s="25" t="n"/>
      <c r="C497" s="17">
        <f>IF(B497="","",IFERROR(INDEX('案件台帳'!$B$6:$B$105,MATCH(B497,'案件台帳'!$A$6:$A$105,0)),""))</f>
        <v/>
      </c>
      <c r="D497" s="25" t="n"/>
      <c r="E497" s="25" t="n"/>
      <c r="F497" s="25" t="n"/>
      <c r="G497" s="29" t="n"/>
      <c r="H497" s="29" t="n"/>
      <c r="I497" s="19">
        <f>IF(COUNT(G497:H497)=0,"",$B$2+SUM(G$6:G497)-SUM(H$6:H497))</f>
        <v/>
      </c>
    </row>
    <row r="498">
      <c r="A498" s="45" t="n"/>
      <c r="B498" s="25" t="n"/>
      <c r="C498" s="17">
        <f>IF(B498="","",IFERROR(INDEX('案件台帳'!$B$6:$B$105,MATCH(B498,'案件台帳'!$A$6:$A$105,0)),""))</f>
        <v/>
      </c>
      <c r="D498" s="25" t="n"/>
      <c r="E498" s="25" t="n"/>
      <c r="F498" s="25" t="n"/>
      <c r="G498" s="29" t="n"/>
      <c r="H498" s="29" t="n"/>
      <c r="I498" s="19">
        <f>IF(COUNT(G498:H498)=0,"",$B$2+SUM(G$6:G498)-SUM(H$6:H498))</f>
        <v/>
      </c>
    </row>
    <row r="499">
      <c r="A499" s="45" t="n"/>
      <c r="B499" s="25" t="n"/>
      <c r="C499" s="17">
        <f>IF(B499="","",IFERROR(INDEX('案件台帳'!$B$6:$B$105,MATCH(B499,'案件台帳'!$A$6:$A$105,0)),""))</f>
        <v/>
      </c>
      <c r="D499" s="25" t="n"/>
      <c r="E499" s="25" t="n"/>
      <c r="F499" s="25" t="n"/>
      <c r="G499" s="29" t="n"/>
      <c r="H499" s="29" t="n"/>
      <c r="I499" s="19">
        <f>IF(COUNT(G499:H499)=0,"",$B$2+SUM(G$6:G499)-SUM(H$6:H499))</f>
        <v/>
      </c>
    </row>
    <row r="500">
      <c r="A500" s="45" t="n"/>
      <c r="B500" s="25" t="n"/>
      <c r="C500" s="17">
        <f>IF(B500="","",IFERROR(INDEX('案件台帳'!$B$6:$B$105,MATCH(B500,'案件台帳'!$A$6:$A$105,0)),""))</f>
        <v/>
      </c>
      <c r="D500" s="25" t="n"/>
      <c r="E500" s="25" t="n"/>
      <c r="F500" s="25" t="n"/>
      <c r="G500" s="29" t="n"/>
      <c r="H500" s="29" t="n"/>
      <c r="I500" s="19">
        <f>IF(COUNT(G500:H500)=0,"",$B$2+SUM(G$6:G500)-SUM(H$6:H500))</f>
        <v/>
      </c>
    </row>
    <row r="501">
      <c r="A501" s="45" t="n"/>
      <c r="B501" s="25" t="n"/>
      <c r="C501" s="17">
        <f>IF(B501="","",IFERROR(INDEX('案件台帳'!$B$6:$B$105,MATCH(B501,'案件台帳'!$A$6:$A$105,0)),""))</f>
        <v/>
      </c>
      <c r="D501" s="25" t="n"/>
      <c r="E501" s="25" t="n"/>
      <c r="F501" s="25" t="n"/>
      <c r="G501" s="29" t="n"/>
      <c r="H501" s="29" t="n"/>
      <c r="I501" s="19">
        <f>IF(COUNT(G501:H501)=0,"",$B$2+SUM(G$6:G501)-SUM(H$6:H501))</f>
        <v/>
      </c>
    </row>
    <row r="502">
      <c r="A502" s="45" t="n"/>
      <c r="B502" s="25" t="n"/>
      <c r="C502" s="17">
        <f>IF(B502="","",IFERROR(INDEX('案件台帳'!$B$6:$B$105,MATCH(B502,'案件台帳'!$A$6:$A$105,0)),""))</f>
        <v/>
      </c>
      <c r="D502" s="25" t="n"/>
      <c r="E502" s="25" t="n"/>
      <c r="F502" s="25" t="n"/>
      <c r="G502" s="29" t="n"/>
      <c r="H502" s="29" t="n"/>
      <c r="I502" s="19">
        <f>IF(COUNT(G502:H502)=0,"",$B$2+SUM(G$6:G502)-SUM(H$6:H502))</f>
        <v/>
      </c>
    </row>
    <row r="503">
      <c r="A503" s="45" t="n"/>
      <c r="B503" s="25" t="n"/>
      <c r="C503" s="17">
        <f>IF(B503="","",IFERROR(INDEX('案件台帳'!$B$6:$B$105,MATCH(B503,'案件台帳'!$A$6:$A$105,0)),""))</f>
        <v/>
      </c>
      <c r="D503" s="25" t="n"/>
      <c r="E503" s="25" t="n"/>
      <c r="F503" s="25" t="n"/>
      <c r="G503" s="29" t="n"/>
      <c r="H503" s="29" t="n"/>
      <c r="I503" s="19">
        <f>IF(COUNT(G503:H503)=0,"",$B$2+SUM(G$6:G503)-SUM(H$6:H503))</f>
        <v/>
      </c>
    </row>
    <row r="504">
      <c r="A504" s="45" t="n"/>
      <c r="B504" s="25" t="n"/>
      <c r="C504" s="17">
        <f>IF(B504="","",IFERROR(INDEX('案件台帳'!$B$6:$B$105,MATCH(B504,'案件台帳'!$A$6:$A$105,0)),""))</f>
        <v/>
      </c>
      <c r="D504" s="25" t="n"/>
      <c r="E504" s="25" t="n"/>
      <c r="F504" s="25" t="n"/>
      <c r="G504" s="29" t="n"/>
      <c r="H504" s="29" t="n"/>
      <c r="I504" s="19">
        <f>IF(COUNT(G504:H504)=0,"",$B$2+SUM(G$6:G504)-SUM(H$6:H504))</f>
        <v/>
      </c>
    </row>
    <row r="505">
      <c r="A505" s="45" t="n"/>
      <c r="B505" s="25" t="n"/>
      <c r="C505" s="17">
        <f>IF(B505="","",IFERROR(INDEX('案件台帳'!$B$6:$B$105,MATCH(B505,'案件台帳'!$A$6:$A$105,0)),""))</f>
        <v/>
      </c>
      <c r="D505" s="25" t="n"/>
      <c r="E505" s="25" t="n"/>
      <c r="F505" s="25" t="n"/>
      <c r="G505" s="29" t="n"/>
      <c r="H505" s="29" t="n"/>
      <c r="I505" s="19">
        <f>IF(COUNT(G505:H505)=0,"",$B$2+SUM(G$6:G505)-SUM(H$6:H505))</f>
        <v/>
      </c>
    </row>
  </sheetData>
  <autoFilter ref="A5:I505"/>
  <mergeCells count="1">
    <mergeCell ref="B2:C2"/>
  </mergeCells>
  <dataValidations count="2">
    <dataValidation sqref="B6:B505" showDropDown="0" showInputMessage="0" showErrorMessage="1" allowBlank="1" error="リストから選んでください" type="list">
      <formula1>'案件台帳'!$A$6:$A$105</formula1>
    </dataValidation>
    <dataValidation sqref="D6:D505" showDropDown="0" showInputMessage="0" showErrorMessage="1" allowBlank="1" error="リストから選んでください" type="list">
      <formula1>'設定'!$D$19:$D$38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2026-10-15T14:25:05Z</dcterms:created>
  <dcterms:modified xmlns:dcterms="http://purl.org/dc/terms/" xmlns:xsi="http://www.w3.org/2001/XMLSchema-instance" xsi:type="dcterms:W3CDTF">2026-10-15T14:25:06Z</dcterms:modified>
</cp:coreProperties>
</file>