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1249969597d26a7/Desktop/AI事務/見積もり作成/"/>
    </mc:Choice>
  </mc:AlternateContent>
  <xr:revisionPtr revIDLastSave="4" documentId="11_7B45BA1C15DF3996A5EC6D515CB6E87167C70473" xr6:coauthVersionLast="47" xr6:coauthVersionMax="47" xr10:uidLastSave="{E4FCDA12-E28D-404E-B47D-D38B98CE6568}"/>
  <bookViews>
    <workbookView xWindow="-98" yWindow="-98" windowWidth="21795" windowHeight="12975" xr2:uid="{00000000-000D-0000-FFFF-FFFF00000000}"/>
  </bookViews>
  <sheets>
    <sheet name="見積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1" i="1"/>
  <c r="G20" i="1"/>
  <c r="G18" i="1"/>
  <c r="G16" i="1"/>
  <c r="G15" i="1"/>
  <c r="G14" i="1"/>
  <c r="G32" i="1" l="1"/>
  <c r="G33" i="1" s="1"/>
  <c r="G10" i="1" s="1"/>
</calcChain>
</file>

<file path=xl/sharedStrings.xml><?xml version="1.0" encoding="utf-8"?>
<sst xmlns="http://schemas.openxmlformats.org/spreadsheetml/2006/main" count="80" uniqueCount="71">
  <si>
    <t>見　　積　　書</t>
  </si>
  <si>
    <t>見積番号</t>
  </si>
  <si>
    <t>2026-001</t>
  </si>
  <si>
    <t>会　社　名</t>
  </si>
  <si>
    <t>株式会社 ○○</t>
  </si>
  <si>
    <t>見積日付</t>
  </si>
  <si>
    <t>2026年6月15日</t>
  </si>
  <si>
    <t>〒</t>
  </si>
  <si>
    <t>000-0000</t>
  </si>
  <si>
    <t>有効期限</t>
  </si>
  <si>
    <t>2026年7月15日</t>
  </si>
  <si>
    <t>住　　所</t>
  </si>
  <si>
    <t>○○県○○市○○町 0-0-0</t>
  </si>
  <si>
    <t>工　事　名</t>
  </si>
  <si>
    <t>工事名を入力</t>
  </si>
  <si>
    <t>TEL</t>
  </si>
  <si>
    <t>000-000-0000</t>
  </si>
  <si>
    <t>工事場所</t>
  </si>
  <si>
    <t>工事場所を入力</t>
  </si>
  <si>
    <t>FAX</t>
  </si>
  <si>
    <t>工期予定</t>
  </si>
  <si>
    <t>約　　日間</t>
  </si>
  <si>
    <t>担当者名</t>
  </si>
  <si>
    <t>○○ ○○</t>
  </si>
  <si>
    <t>御担当者</t>
  </si>
  <si>
    <t>御　担　当　者　様</t>
  </si>
  <si>
    <t>御見積金額（税込）</t>
  </si>
  <si>
    <t>No.</t>
  </si>
  <si>
    <t>工種・品名</t>
  </si>
  <si>
    <t>仕様・規格</t>
  </si>
  <si>
    <t>数量</t>
  </si>
  <si>
    <t>単位</t>
  </si>
  <si>
    <t>単　価</t>
  </si>
  <si>
    <t>金　額</t>
  </si>
  <si>
    <t>備　考</t>
  </si>
  <si>
    <t>【1】 下地調整工事</t>
  </si>
  <si>
    <t>ペーパーがけ（目粗し）</t>
  </si>
  <si>
    <t>＃120〜＃240 空研ぎペーパー</t>
  </si>
  <si>
    <t>㎡</t>
  </si>
  <si>
    <t>壁面全体</t>
  </si>
  <si>
    <t>パテ補修・不陸調整</t>
  </si>
  <si>
    <t>ポリパテ・下地パテ（補修）</t>
  </si>
  <si>
    <t>清掃・ゴミ処理</t>
  </si>
  <si>
    <t>研磨粉・ゴミ除去</t>
  </si>
  <si>
    <t>式</t>
  </si>
  <si>
    <t>【2】 下塗り工事</t>
  </si>
  <si>
    <t>シーラー塗布（下塗り）</t>
  </si>
  <si>
    <t>水性シーラー 1回塗り</t>
  </si>
  <si>
    <t>全壁面</t>
  </si>
  <si>
    <t>【3】 仕上げ塗装工事</t>
  </si>
  <si>
    <t>内装用エマルション塗装（中塗り）</t>
  </si>
  <si>
    <t>合成樹脂エマルションペイント 1回目</t>
  </si>
  <si>
    <t>色番指定</t>
  </si>
  <si>
    <t>内装用エマルション塗装（上塗り）</t>
  </si>
  <si>
    <t>合成樹脂エマルションペイント 2回目（最終仕上げ）</t>
  </si>
  <si>
    <t>【4】 養生・諸経費</t>
  </si>
  <si>
    <t>養生工事</t>
  </si>
  <si>
    <t>床面・建具・金物類 養生シート</t>
  </si>
  <si>
    <t>撤去含む</t>
  </si>
  <si>
    <t>廃材・産業廃棄物処理費</t>
  </si>
  <si>
    <t>空き缶・マスキング材等</t>
  </si>
  <si>
    <t>諸経費・交通費</t>
  </si>
  <si>
    <t>現場管理・材料搬入等</t>
  </si>
  <si>
    <t>小　　　計</t>
  </si>
  <si>
    <t>消費税</t>
  </si>
  <si>
    <t>合　計　（税込）</t>
  </si>
  <si>
    <t>【 注意事項・特記事項 】</t>
  </si>
  <si>
    <t>1. 本見積書は現場状況を確認し作成しております。実測値と異なる場合は精算が必要です。</t>
  </si>
  <si>
    <t>2. 塗装色は別途ご指定ください。指定色・特注色の場合は材料費が変動する場合があります。</t>
  </si>
  <si>
    <t>3. 本見積の有効期限は発行日より30日間です。材料価格変動により再見積となる場合があります。</t>
  </si>
  <si>
    <t>以上、よろしくご検討のほどお願い申し上げます。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</si>
</sst>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¥#,##0"/>
    <numFmt numFmtId="177" formatCode="#,##0.0"/>
  </numFmts>
  <fonts count="17" x14ac:knownFonts="1">
    <font>
      <sz val="11"/>
      <color theme="1"/>
      <name val="ＭＳ Ｐゴシック"/>
      <family val="2"/>
      <scheme val="minor"/>
    </font>
    <font>
      <b/>
      <sz val="18"/>
      <color rgb="FF000000"/>
      <name val="游ゴシック"/>
      <family val="3"/>
      <charset val="128"/>
    </font>
    <font>
      <b/>
      <sz val="10"/>
      <color rgb="FF00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b/>
      <sz val="13"/>
      <color rgb="FF000000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0"/>
      <color rgb="FF1A1A4E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12"/>
      <color rgb="FFFFFFFF"/>
      <name val="游ゴシック"/>
      <family val="3"/>
      <charset val="128"/>
    </font>
    <font>
      <b/>
      <sz val="13"/>
      <color rgb="FFFFFFFF"/>
      <name val="游ゴシック"/>
      <family val="3"/>
      <charset val="128"/>
    </font>
    <font>
      <sz val="10"/>
      <color rgb="FFFFFFFF"/>
      <name val="游ゴシック"/>
      <family val="3"/>
      <charset val="128"/>
    </font>
    <font>
      <sz val="9.5"/>
      <name val="游ゴシック"/>
      <family val="3"/>
      <charset val="128"/>
    </font>
    <font>
      <sz val="9.5"/>
      <color rgb="FF444444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1A1A4E"/>
      </patternFill>
    </fill>
    <fill>
      <patternFill patternType="solid">
        <fgColor rgb="FFD4D4EC"/>
      </patternFill>
    </fill>
    <fill>
      <patternFill patternType="solid">
        <fgColor rgb="FFEEEED8"/>
      </patternFill>
    </fill>
    <fill>
      <patternFill patternType="solid">
        <fgColor rgb="FFD8D8F0"/>
      </patternFill>
    </fill>
    <fill>
      <patternFill patternType="solid">
        <fgColor rgb="FFFAFAFA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177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right" vertical="center"/>
    </xf>
    <xf numFmtId="176" fontId="9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76" fontId="10" fillId="8" borderId="1" xfId="0" applyNumberFormat="1" applyFont="1" applyFill="1" applyBorder="1" applyAlignment="1">
      <alignment horizontal="right" vertical="center"/>
    </xf>
    <xf numFmtId="176" fontId="12" fillId="5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0" fillId="0" borderId="3" xfId="0" applyBorder="1"/>
    <xf numFmtId="0" fontId="3" fillId="3" borderId="1" xfId="0" applyFont="1" applyFill="1" applyBorder="1" applyAlignment="1">
      <alignment horizontal="left" vertical="center"/>
    </xf>
    <xf numFmtId="0" fontId="0" fillId="0" borderId="2" xfId="0" applyBorder="1"/>
    <xf numFmtId="0" fontId="14" fillId="9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/>
    <xf numFmtId="0" fontId="11" fillId="5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workbookViewId="0">
      <selection activeCell="F21" sqref="F21"/>
    </sheetView>
  </sheetViews>
  <sheetFormatPr defaultRowHeight="12.75" x14ac:dyDescent="0.25"/>
  <cols>
    <col min="1" max="1" width="14.46484375" customWidth="1"/>
    <col min="2" max="2" width="33" customWidth="1"/>
    <col min="3" max="3" width="32.265625" customWidth="1"/>
    <col min="4" max="4" width="8" customWidth="1"/>
    <col min="5" max="5" width="6" customWidth="1"/>
    <col min="6" max="6" width="13" customWidth="1"/>
    <col min="7" max="7" width="14" customWidth="1"/>
    <col min="8" max="8" width="13" customWidth="1"/>
  </cols>
  <sheetData>
    <row r="1" spans="1:8" ht="32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8" ht="5" customHeight="1" x14ac:dyDescent="0.25"/>
    <row r="3" spans="1:8" ht="19.05" customHeight="1" x14ac:dyDescent="0.25">
      <c r="A3" s="1" t="s">
        <v>1</v>
      </c>
      <c r="B3" s="23" t="s">
        <v>2</v>
      </c>
      <c r="C3" s="24"/>
      <c r="D3" s="22"/>
      <c r="E3" s="3"/>
      <c r="F3" s="1" t="s">
        <v>3</v>
      </c>
      <c r="G3" s="23" t="s">
        <v>4</v>
      </c>
      <c r="H3" s="22"/>
    </row>
    <row r="4" spans="1:8" ht="19.05" customHeight="1" x14ac:dyDescent="0.25">
      <c r="A4" s="1" t="s">
        <v>5</v>
      </c>
      <c r="B4" s="23" t="s">
        <v>6</v>
      </c>
      <c r="C4" s="24"/>
      <c r="D4" s="22"/>
      <c r="E4" s="3"/>
      <c r="F4" s="1" t="s">
        <v>7</v>
      </c>
      <c r="G4" s="23" t="s">
        <v>8</v>
      </c>
      <c r="H4" s="22"/>
    </row>
    <row r="5" spans="1:8" ht="19.05" customHeight="1" x14ac:dyDescent="0.25">
      <c r="A5" s="1" t="s">
        <v>9</v>
      </c>
      <c r="B5" s="23" t="s">
        <v>10</v>
      </c>
      <c r="C5" s="24"/>
      <c r="D5" s="22"/>
      <c r="E5" s="3"/>
      <c r="F5" s="1" t="s">
        <v>11</v>
      </c>
      <c r="G5" s="23" t="s">
        <v>12</v>
      </c>
      <c r="H5" s="22"/>
    </row>
    <row r="6" spans="1:8" ht="19.05" customHeight="1" x14ac:dyDescent="0.25">
      <c r="A6" s="1" t="s">
        <v>13</v>
      </c>
      <c r="B6" s="23" t="s">
        <v>14</v>
      </c>
      <c r="C6" s="24"/>
      <c r="D6" s="22"/>
      <c r="E6" s="3"/>
      <c r="F6" s="1" t="s">
        <v>15</v>
      </c>
      <c r="G6" s="23" t="s">
        <v>16</v>
      </c>
      <c r="H6" s="22"/>
    </row>
    <row r="7" spans="1:8" ht="19.05" customHeight="1" x14ac:dyDescent="0.25">
      <c r="A7" s="1" t="s">
        <v>17</v>
      </c>
      <c r="B7" s="23" t="s">
        <v>18</v>
      </c>
      <c r="C7" s="24"/>
      <c r="D7" s="22"/>
      <c r="E7" s="3"/>
      <c r="F7" s="1" t="s">
        <v>19</v>
      </c>
      <c r="G7" s="23" t="s">
        <v>16</v>
      </c>
      <c r="H7" s="22"/>
    </row>
    <row r="8" spans="1:8" ht="19.05" customHeight="1" x14ac:dyDescent="0.25">
      <c r="A8" s="1" t="s">
        <v>20</v>
      </c>
      <c r="B8" s="23" t="s">
        <v>21</v>
      </c>
      <c r="C8" s="24"/>
      <c r="D8" s="22"/>
      <c r="E8" s="3"/>
      <c r="F8" s="1" t="s">
        <v>22</v>
      </c>
      <c r="G8" s="23" t="s">
        <v>23</v>
      </c>
      <c r="H8" s="22"/>
    </row>
    <row r="9" spans="1:8" ht="8" customHeight="1" x14ac:dyDescent="0.25"/>
    <row r="10" spans="1:8" ht="26" customHeight="1" x14ac:dyDescent="0.25">
      <c r="A10" s="1" t="s">
        <v>24</v>
      </c>
      <c r="B10" s="30" t="s">
        <v>25</v>
      </c>
      <c r="C10" s="22"/>
      <c r="D10" s="21"/>
      <c r="E10" s="22"/>
      <c r="F10" s="4" t="s">
        <v>26</v>
      </c>
      <c r="G10" s="29">
        <f>G33</f>
        <v>169180</v>
      </c>
      <c r="H10" s="22"/>
    </row>
    <row r="11" spans="1:8" ht="8" customHeight="1" x14ac:dyDescent="0.25"/>
    <row r="12" spans="1:8" ht="20" customHeight="1" x14ac:dyDescent="0.25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33</v>
      </c>
      <c r="H12" s="4" t="s">
        <v>34</v>
      </c>
    </row>
    <row r="13" spans="1:8" ht="19.05" customHeight="1" x14ac:dyDescent="0.25">
      <c r="A13" s="32" t="s">
        <v>35</v>
      </c>
      <c r="B13" s="24"/>
      <c r="C13" s="24"/>
      <c r="D13" s="24"/>
      <c r="E13" s="24"/>
      <c r="F13" s="24"/>
      <c r="G13" s="24"/>
      <c r="H13" s="22"/>
    </row>
    <row r="14" spans="1:8" ht="19.05" customHeight="1" x14ac:dyDescent="0.25">
      <c r="A14" s="5">
        <v>1</v>
      </c>
      <c r="B14" s="2" t="s">
        <v>36</v>
      </c>
      <c r="C14" s="6" t="s">
        <v>37</v>
      </c>
      <c r="D14" s="7">
        <v>34</v>
      </c>
      <c r="E14" s="8" t="s">
        <v>38</v>
      </c>
      <c r="F14" s="9">
        <v>500</v>
      </c>
      <c r="G14" s="10">
        <f>ROUND(D14*F14,0)</f>
        <v>17000</v>
      </c>
      <c r="H14" s="11" t="s">
        <v>39</v>
      </c>
    </row>
    <row r="15" spans="1:8" ht="19.05" customHeight="1" x14ac:dyDescent="0.25">
      <c r="A15" s="5">
        <v>2</v>
      </c>
      <c r="B15" s="2" t="s">
        <v>40</v>
      </c>
      <c r="C15" s="6" t="s">
        <v>41</v>
      </c>
      <c r="D15" s="7">
        <v>34</v>
      </c>
      <c r="E15" s="8" t="s">
        <v>38</v>
      </c>
      <c r="F15" s="9">
        <v>400</v>
      </c>
      <c r="G15" s="10">
        <f>ROUND(D15*F15,0)</f>
        <v>13600</v>
      </c>
      <c r="H15" s="11"/>
    </row>
    <row r="16" spans="1:8" ht="19.05" customHeight="1" x14ac:dyDescent="0.25">
      <c r="A16" s="5">
        <v>3</v>
      </c>
      <c r="B16" s="2" t="s">
        <v>42</v>
      </c>
      <c r="C16" s="6" t="s">
        <v>43</v>
      </c>
      <c r="D16" s="7">
        <v>1</v>
      </c>
      <c r="E16" s="8" t="s">
        <v>44</v>
      </c>
      <c r="F16" s="9">
        <v>3000</v>
      </c>
      <c r="G16" s="10">
        <f>ROUND(D16*F16,0)</f>
        <v>3000</v>
      </c>
      <c r="H16" s="11"/>
    </row>
    <row r="17" spans="1:8" ht="19.05" customHeight="1" x14ac:dyDescent="0.25">
      <c r="A17" s="32" t="s">
        <v>45</v>
      </c>
      <c r="B17" s="24"/>
      <c r="C17" s="24"/>
      <c r="D17" s="24"/>
      <c r="E17" s="24"/>
      <c r="F17" s="24"/>
      <c r="G17" s="24"/>
      <c r="H17" s="22"/>
    </row>
    <row r="18" spans="1:8" ht="19.05" customHeight="1" x14ac:dyDescent="0.25">
      <c r="A18" s="5">
        <v>4</v>
      </c>
      <c r="B18" s="2" t="s">
        <v>46</v>
      </c>
      <c r="C18" s="6" t="s">
        <v>47</v>
      </c>
      <c r="D18" s="7">
        <v>34</v>
      </c>
      <c r="E18" s="8" t="s">
        <v>38</v>
      </c>
      <c r="F18" s="9">
        <v>800</v>
      </c>
      <c r="G18" s="10">
        <f>ROUND(D18*F18,0)</f>
        <v>27200</v>
      </c>
      <c r="H18" s="11" t="s">
        <v>48</v>
      </c>
    </row>
    <row r="19" spans="1:8" ht="19.05" customHeight="1" x14ac:dyDescent="0.25">
      <c r="A19" s="32" t="s">
        <v>49</v>
      </c>
      <c r="B19" s="24"/>
      <c r="C19" s="24"/>
      <c r="D19" s="24"/>
      <c r="E19" s="24"/>
      <c r="F19" s="24"/>
      <c r="G19" s="24"/>
      <c r="H19" s="22"/>
    </row>
    <row r="20" spans="1:8" ht="19.05" customHeight="1" x14ac:dyDescent="0.25">
      <c r="A20" s="5">
        <v>5</v>
      </c>
      <c r="B20" s="2" t="s">
        <v>50</v>
      </c>
      <c r="C20" s="6" t="s">
        <v>51</v>
      </c>
      <c r="D20" s="7">
        <v>34</v>
      </c>
      <c r="E20" s="8" t="s">
        <v>38</v>
      </c>
      <c r="F20" s="9">
        <v>1000</v>
      </c>
      <c r="G20" s="10">
        <f>ROUND(D20*F20,0)</f>
        <v>34000</v>
      </c>
      <c r="H20" s="11" t="s">
        <v>52</v>
      </c>
    </row>
    <row r="21" spans="1:8" ht="19.05" customHeight="1" x14ac:dyDescent="0.25">
      <c r="A21" s="5">
        <v>6</v>
      </c>
      <c r="B21" s="2" t="s">
        <v>53</v>
      </c>
      <c r="C21" s="6" t="s">
        <v>54</v>
      </c>
      <c r="D21" s="7">
        <v>34</v>
      </c>
      <c r="E21" s="8" t="s">
        <v>38</v>
      </c>
      <c r="F21" s="9">
        <v>1000</v>
      </c>
      <c r="G21" s="10">
        <f>ROUND(D21*F21,0)</f>
        <v>34000</v>
      </c>
      <c r="H21" s="11" t="s">
        <v>52</v>
      </c>
    </row>
    <row r="22" spans="1:8" ht="19.05" customHeight="1" x14ac:dyDescent="0.25">
      <c r="A22" s="32" t="s">
        <v>55</v>
      </c>
      <c r="B22" s="24"/>
      <c r="C22" s="24"/>
      <c r="D22" s="24"/>
      <c r="E22" s="24"/>
      <c r="F22" s="24"/>
      <c r="G22" s="24"/>
      <c r="H22" s="22"/>
    </row>
    <row r="23" spans="1:8" ht="19.05" customHeight="1" x14ac:dyDescent="0.25">
      <c r="A23" s="5">
        <v>7</v>
      </c>
      <c r="B23" s="2" t="s">
        <v>56</v>
      </c>
      <c r="C23" s="6" t="s">
        <v>57</v>
      </c>
      <c r="D23" s="7">
        <v>1</v>
      </c>
      <c r="E23" s="8" t="s">
        <v>44</v>
      </c>
      <c r="F23" s="9">
        <v>12000</v>
      </c>
      <c r="G23" s="10">
        <f>ROUND(D23*F23,0)</f>
        <v>12000</v>
      </c>
      <c r="H23" s="11" t="s">
        <v>58</v>
      </c>
    </row>
    <row r="24" spans="1:8" ht="19.05" customHeight="1" x14ac:dyDescent="0.25">
      <c r="A24" s="5">
        <v>8</v>
      </c>
      <c r="B24" s="2" t="s">
        <v>59</v>
      </c>
      <c r="C24" s="6" t="s">
        <v>60</v>
      </c>
      <c r="D24" s="7">
        <v>1</v>
      </c>
      <c r="E24" s="8" t="s">
        <v>44</v>
      </c>
      <c r="F24" s="9">
        <v>5000</v>
      </c>
      <c r="G24" s="10">
        <f>ROUND(D24*F24,0)</f>
        <v>5000</v>
      </c>
      <c r="H24" s="11"/>
    </row>
    <row r="25" spans="1:8" ht="19.05" customHeight="1" x14ac:dyDescent="0.25">
      <c r="A25" s="5">
        <v>9</v>
      </c>
      <c r="B25" s="2" t="s">
        <v>61</v>
      </c>
      <c r="C25" s="6" t="s">
        <v>62</v>
      </c>
      <c r="D25" s="7">
        <v>1</v>
      </c>
      <c r="E25" s="8" t="s">
        <v>44</v>
      </c>
      <c r="F25" s="9">
        <v>8000</v>
      </c>
      <c r="G25" s="10">
        <f>ROUND(D25*F25,0)</f>
        <v>8000</v>
      </c>
      <c r="H25" s="11"/>
    </row>
    <row r="26" spans="1:8" ht="19.05" customHeight="1" x14ac:dyDescent="0.25">
      <c r="A26" s="5"/>
      <c r="B26" s="2"/>
      <c r="C26" s="2"/>
      <c r="D26" s="7"/>
      <c r="E26" s="8"/>
      <c r="F26" s="9"/>
      <c r="G26" s="10" t="str">
        <f>IF(OR(D26="",F26="",D26*F26=0),"",ROUND(D26*F26,0))</f>
        <v/>
      </c>
      <c r="H26" s="5"/>
    </row>
    <row r="27" spans="1:8" ht="19.05" customHeight="1" x14ac:dyDescent="0.25">
      <c r="A27" s="5"/>
      <c r="B27" s="2"/>
      <c r="C27" s="2"/>
      <c r="D27" s="7"/>
      <c r="E27" s="8"/>
      <c r="F27" s="9"/>
      <c r="G27" s="10" t="str">
        <f>IF(OR(D27="",F27="",D27*F27=0),"",ROUND(D27*F27,0))</f>
        <v/>
      </c>
      <c r="H27" s="5"/>
    </row>
    <row r="28" spans="1:8" ht="19.05" customHeight="1" x14ac:dyDescent="0.25">
      <c r="A28" s="5"/>
      <c r="B28" s="2"/>
      <c r="C28" s="2"/>
      <c r="D28" s="7"/>
      <c r="E28" s="8"/>
      <c r="F28" s="9"/>
      <c r="G28" s="10" t="str">
        <f>IF(OR(D28="",F28="",D28*F28=0),"",ROUND(D28*F28,0))</f>
        <v/>
      </c>
      <c r="H28" s="5"/>
    </row>
    <row r="29" spans="1:8" ht="19.05" customHeight="1" x14ac:dyDescent="0.25">
      <c r="A29" s="5"/>
      <c r="B29" s="2"/>
      <c r="C29" s="2"/>
      <c r="D29" s="7"/>
      <c r="E29" s="8"/>
      <c r="F29" s="9"/>
      <c r="G29" s="10" t="str">
        <f>IF(OR(D29="",F29="",D29*F29=0),"",ROUND(D29*F29,0))</f>
        <v/>
      </c>
      <c r="H29" s="5"/>
    </row>
    <row r="30" spans="1:8" ht="19.05" customHeight="1" x14ac:dyDescent="0.25">
      <c r="A30" s="5"/>
      <c r="B30" s="2"/>
      <c r="C30" s="2"/>
      <c r="D30" s="7"/>
      <c r="E30" s="8"/>
      <c r="F30" s="9"/>
      <c r="G30" s="10" t="str">
        <f>IF(OR(D30="",F30="",D30*F30=0),"",ROUND(D30*F30,0))</f>
        <v/>
      </c>
      <c r="H30" s="5"/>
    </row>
    <row r="31" spans="1:8" ht="20" customHeight="1" x14ac:dyDescent="0.25">
      <c r="A31" s="31" t="s">
        <v>63</v>
      </c>
      <c r="B31" s="24"/>
      <c r="C31" s="24"/>
      <c r="D31" s="24"/>
      <c r="E31" s="24"/>
      <c r="F31" s="22"/>
      <c r="G31" s="12">
        <f>SUM(G14,G15,G16,G18,G20,G21,G23,G24,G25,G26,G27,G28,G29,G30)</f>
        <v>153800</v>
      </c>
      <c r="H31" s="13"/>
    </row>
    <row r="32" spans="1:8" ht="20" customHeight="1" x14ac:dyDescent="0.25">
      <c r="A32" s="34" t="s">
        <v>64</v>
      </c>
      <c r="B32" s="24"/>
      <c r="C32" s="24"/>
      <c r="D32" s="22"/>
      <c r="E32" s="14">
        <v>0.1</v>
      </c>
      <c r="F32" s="15"/>
      <c r="G32" s="16">
        <f>ROUND(G31*E32,0)</f>
        <v>15380</v>
      </c>
      <c r="H32" s="15"/>
    </row>
    <row r="33" spans="1:8" ht="24" customHeight="1" x14ac:dyDescent="0.25">
      <c r="A33" s="28" t="s">
        <v>65</v>
      </c>
      <c r="B33" s="24"/>
      <c r="C33" s="24"/>
      <c r="D33" s="24"/>
      <c r="E33" s="24"/>
      <c r="F33" s="22"/>
      <c r="G33" s="17">
        <f>G31+G32</f>
        <v>169180</v>
      </c>
      <c r="H33" s="18"/>
    </row>
    <row r="34" spans="1:8" ht="10.050000000000001" customHeight="1" x14ac:dyDescent="0.25"/>
    <row r="35" spans="1:8" ht="18" customHeight="1" x14ac:dyDescent="0.25">
      <c r="A35" s="33" t="s">
        <v>66</v>
      </c>
      <c r="B35" s="24"/>
      <c r="C35" s="24"/>
      <c r="D35" s="24"/>
      <c r="E35" s="24"/>
      <c r="F35" s="24"/>
      <c r="G35" s="24"/>
      <c r="H35" s="22"/>
    </row>
    <row r="36" spans="1:8" ht="17" customHeight="1" x14ac:dyDescent="0.25">
      <c r="A36" s="25" t="s">
        <v>67</v>
      </c>
      <c r="B36" s="24"/>
      <c r="C36" s="24"/>
      <c r="D36" s="24"/>
      <c r="E36" s="24"/>
      <c r="F36" s="24"/>
      <c r="G36" s="24"/>
      <c r="H36" s="22"/>
    </row>
    <row r="37" spans="1:8" ht="17" customHeight="1" x14ac:dyDescent="0.25">
      <c r="A37" s="25" t="s">
        <v>68</v>
      </c>
      <c r="B37" s="24"/>
      <c r="C37" s="24"/>
      <c r="D37" s="24"/>
      <c r="E37" s="24"/>
      <c r="F37" s="24"/>
      <c r="G37" s="24"/>
      <c r="H37" s="22"/>
    </row>
    <row r="38" spans="1:8" ht="17" customHeight="1" x14ac:dyDescent="0.25">
      <c r="A38" s="25" t="s">
        <v>69</v>
      </c>
      <c r="B38" s="24"/>
      <c r="C38" s="24"/>
      <c r="D38" s="24"/>
      <c r="E38" s="24"/>
      <c r="F38" s="24"/>
      <c r="G38" s="24"/>
      <c r="H38" s="22"/>
    </row>
    <row r="39" spans="1:8" ht="16.05" customHeight="1" x14ac:dyDescent="0.25">
      <c r="A39" s="19" t="s">
        <v>70</v>
      </c>
      <c r="B39" s="20"/>
      <c r="C39" s="20"/>
      <c r="D39" s="20"/>
      <c r="E39" s="20"/>
      <c r="F39" s="20"/>
      <c r="G39" s="20"/>
      <c r="H39" s="20"/>
    </row>
  </sheetData>
  <mergeCells count="28">
    <mergeCell ref="G4:H4"/>
    <mergeCell ref="B3:D3"/>
    <mergeCell ref="A35:H35"/>
    <mergeCell ref="A38:H38"/>
    <mergeCell ref="A13:H13"/>
    <mergeCell ref="A19:H19"/>
    <mergeCell ref="A32:D32"/>
    <mergeCell ref="G5:H5"/>
    <mergeCell ref="A31:F31"/>
    <mergeCell ref="B7:D7"/>
    <mergeCell ref="A22:H22"/>
    <mergeCell ref="A17:H17"/>
    <mergeCell ref="A39:H39"/>
    <mergeCell ref="D10:E10"/>
    <mergeCell ref="B8:D8"/>
    <mergeCell ref="A36:H36"/>
    <mergeCell ref="A1:H1"/>
    <mergeCell ref="G8:H8"/>
    <mergeCell ref="A33:F33"/>
    <mergeCell ref="G7:H7"/>
    <mergeCell ref="G10:H10"/>
    <mergeCell ref="G6:H6"/>
    <mergeCell ref="A37:H37"/>
    <mergeCell ref="B6:D6"/>
    <mergeCell ref="G3:H3"/>
    <mergeCell ref="B5:D5"/>
    <mergeCell ref="B4:D4"/>
    <mergeCell ref="B10:C10"/>
  </mergeCells>
  <phoneticPr fontId="16"/>
  <pageMargins left="0.55000000000000004" right="0.55000000000000004" top="0.7" bottom="0.7" header="0.5" footer="0.5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連太朗 野尻</cp:lastModifiedBy>
  <cp:lastPrinted>2026-06-14T18:00:53Z</cp:lastPrinted>
  <dcterms:created xsi:type="dcterms:W3CDTF">2026-06-14T17:59:42Z</dcterms:created>
  <dcterms:modified xsi:type="dcterms:W3CDTF">2026-06-14T18:10:30Z</dcterms:modified>
</cp:coreProperties>
</file>